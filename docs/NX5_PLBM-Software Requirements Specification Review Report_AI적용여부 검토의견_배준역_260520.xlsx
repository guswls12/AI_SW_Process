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R:\Team_Project\1. P_LBM\1. P_LBM 기능안전, ASPICE(NX5)\AI화 의견\"/>
    </mc:Choice>
  </mc:AlternateContent>
  <xr:revisionPtr revIDLastSave="0" documentId="13_ncr:1_{B2A5F20D-5776-4420-B6C0-4A525A6BDC96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Cover" sheetId="9" r:id="rId1"/>
    <sheet name="Verification Review Strategy" sheetId="10" state="hidden" r:id="rId2"/>
    <sheet name="Verification Review Summary" sheetId="7" r:id="rId3"/>
    <sheet name="Verification Review Report " sheetId="12" r:id="rId4"/>
    <sheet name="Traceability Report" sheetId="13" r:id="rId5"/>
    <sheet name="Technical Feasibility" sheetId="15" r:id="rId6"/>
  </sheets>
  <externalReferences>
    <externalReference r:id="rId7"/>
    <externalReference r:id="rId8"/>
    <externalReference r:id="rId9"/>
  </externalReferences>
  <definedNames>
    <definedName name="_xlnm._FilterDatabase" localSheetId="3" hidden="1">'Verification Review Report '!$B$35:$R$35</definedName>
    <definedName name="a">[1]검토측정!#REF!</definedName>
    <definedName name="Actual">#REF!</definedName>
    <definedName name="Actual_Date">'[2]Resource Estimation &amp; Tracking'!$O$7</definedName>
    <definedName name="b">[1]단계별측정!#REF!</definedName>
    <definedName name="change_age">#N/A</definedName>
    <definedName name="change_no">#REF!</definedName>
    <definedName name="cost_a">#N/A</definedName>
    <definedName name="cost_e">#N/A</definedName>
    <definedName name="d">[1]단계별측정!#REF!</definedName>
    <definedName name="df">[1]검토측정!#REF!</definedName>
    <definedName name="e">[1]단계별측정!#REF!</definedName>
    <definedName name="effort_change">#N/A</definedName>
    <definedName name="effort_review">#N/A</definedName>
    <definedName name="effort_rework">#N/A</definedName>
    <definedName name="fdsfdsa">[1]소스코드크기측정!#REF!</definedName>
    <definedName name="fdsfsda">[1]단계별측정!#REF!</definedName>
    <definedName name="Planned">#REF!</definedName>
    <definedName name="Planned_Date">'[2]Resource Estimation &amp; Tracking'!$O$6</definedName>
    <definedName name="Planned_Total">'[2]Resource Estimation &amp; Tracking'!$O$5</definedName>
    <definedName name="req_added">#REF!</definedName>
    <definedName name="req_base">#REF!</definedName>
    <definedName name="req_changed">#REF!</definedName>
    <definedName name="req_deleted">#REF!</definedName>
    <definedName name="review_defect">#N/A</definedName>
    <definedName name="review_error">#N/A</definedName>
    <definedName name="size_code_e">[1]소스코드크기측정!#REF!</definedName>
    <definedName name="Total">#REF!</definedName>
    <definedName name="total_time">#REF!</definedName>
    <definedName name="vr목록">'[3]1. Safety Case'!$J$17:$J$50</definedName>
    <definedName name="목록">'[3]1. Safety Case'!$J$7:$J$50</definedName>
    <definedName name="목록1">'[3]7. DFA 결과'!$K$7:$K$9</definedName>
    <definedName name="목록2">'[3]7. DFA 결과'!$L$7:$L$8</definedName>
    <definedName name="총_Project_기간">'[2]Resource Estimation &amp; Tracking'!$C$10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2" l="1"/>
  <c r="Q4" i="12"/>
  <c r="Q3" i="12"/>
  <c r="Q2" i="12"/>
  <c r="C6" i="7" l="1"/>
  <c r="O4" i="12"/>
  <c r="C5" i="7" s="1"/>
  <c r="F21" i="9"/>
  <c r="I8" i="9" l="1"/>
  <c r="B19" i="7" l="1" a="1"/>
  <c r="B19" i="7" s="1"/>
  <c r="B20" i="7" l="1" a="1"/>
  <c r="B20" i="7" s="1"/>
  <c r="B21" i="7" s="1" a="1"/>
  <c r="B21" i="7" s="1"/>
  <c r="E19" i="7"/>
  <c r="D19" i="7"/>
  <c r="B22" i="7" l="1" a="1"/>
  <c r="B22" i="7" s="1"/>
  <c r="B23" i="7" s="1" a="1"/>
  <c r="B23" i="7" s="1"/>
  <c r="E20" i="7"/>
  <c r="D20" i="7"/>
  <c r="B24" i="7" l="1" a="1"/>
  <c r="B24" i="7" s="1"/>
  <c r="B25" i="7" s="1" a="1"/>
  <c r="B25" i="7" s="1"/>
  <c r="E21" i="7"/>
  <c r="D21" i="7"/>
  <c r="B26" i="7" l="1" a="1"/>
  <c r="B26" i="7" s="1"/>
  <c r="E22" i="7"/>
  <c r="D22" i="7"/>
  <c r="B27" i="7" l="1" a="1"/>
  <c r="B27" i="7" s="1"/>
  <c r="B28" i="7" s="1" a="1"/>
  <c r="B28" i="7" s="1"/>
  <c r="B29" i="7" s="1" a="1"/>
  <c r="B29" i="7" s="1"/>
  <c r="B30" i="7" s="1" a="1"/>
  <c r="B30" i="7" s="1"/>
  <c r="B31" i="7" s="1" a="1"/>
  <c r="B31" i="7" s="1"/>
  <c r="B32" i="7" s="1" a="1"/>
  <c r="B32" i="7" s="1"/>
  <c r="B33" i="7" s="1" a="1"/>
  <c r="B33" i="7" s="1"/>
  <c r="B34" i="7" s="1" a="1"/>
  <c r="B34" i="7" s="1"/>
  <c r="B35" i="7" s="1" a="1"/>
  <c r="B35" i="7" s="1"/>
  <c r="B36" i="7" s="1" a="1"/>
  <c r="B36" i="7" s="1"/>
  <c r="B37" i="7" s="1" a="1"/>
  <c r="B37" i="7" s="1"/>
  <c r="B38" i="7" s="1" a="1"/>
  <c r="B38" i="7" s="1"/>
  <c r="B39" i="7" s="1" a="1"/>
  <c r="B39" i="7" s="1"/>
  <c r="B40" i="7" s="1" a="1"/>
  <c r="B40" i="7" s="1"/>
  <c r="B41" i="7" s="1" a="1"/>
  <c r="B41" i="7" s="1"/>
  <c r="B42" i="7" s="1" a="1"/>
  <c r="B42" i="7" s="1"/>
  <c r="B43" i="7" s="1" a="1"/>
  <c r="B43" i="7" s="1"/>
  <c r="B44" i="7" s="1" a="1"/>
  <c r="B44" i="7" s="1"/>
  <c r="B45" i="7" s="1" a="1"/>
  <c r="B45" i="7" s="1"/>
  <c r="B46" i="7" s="1" a="1"/>
  <c r="B46" i="7" s="1"/>
  <c r="B47" i="7" s="1" a="1"/>
  <c r="B47" i="7" s="1"/>
  <c r="B48" i="7" s="1" a="1"/>
  <c r="B48" i="7" s="1"/>
  <c r="B49" i="7" s="1" a="1"/>
  <c r="B49" i="7" s="1"/>
  <c r="B50" i="7" s="1" a="1"/>
  <c r="B50" i="7" s="1"/>
  <c r="B51" i="7" s="1" a="1"/>
  <c r="B51" i="7" s="1"/>
  <c r="B52" i="7" s="1" a="1"/>
  <c r="B52" i="7" s="1"/>
  <c r="B53" i="7" s="1" a="1"/>
  <c r="B53" i="7" s="1"/>
  <c r="D23" i="7"/>
  <c r="E23" i="7"/>
  <c r="E24" i="7" l="1"/>
  <c r="D24" i="7"/>
  <c r="D25" i="7" l="1"/>
  <c r="E25" i="7"/>
  <c r="D26" i="7" l="1"/>
  <c r="E26" i="7"/>
  <c r="D27" i="7" l="1"/>
  <c r="E27" i="7"/>
  <c r="E28" i="7" l="1"/>
  <c r="D28" i="7"/>
  <c r="E29" i="7" l="1"/>
  <c r="D29" i="7"/>
  <c r="D30" i="7" l="1"/>
  <c r="E30" i="7"/>
  <c r="E31" i="7" l="1"/>
  <c r="D31" i="7"/>
  <c r="E32" i="7" l="1"/>
  <c r="D32" i="7"/>
  <c r="D33" i="7" l="1"/>
  <c r="E33" i="7"/>
  <c r="E34" i="7" l="1"/>
  <c r="D34" i="7"/>
  <c r="D35" i="7" l="1"/>
  <c r="E35" i="7"/>
  <c r="E36" i="7" l="1"/>
  <c r="D36" i="7"/>
  <c r="D37" i="7" l="1"/>
  <c r="E37" i="7"/>
  <c r="E38" i="7" l="1"/>
  <c r="D38" i="7"/>
  <c r="E39" i="7" l="1"/>
  <c r="D39" i="7"/>
  <c r="E40" i="7" l="1"/>
  <c r="D40" i="7"/>
  <c r="D41" i="7" l="1"/>
  <c r="E41" i="7"/>
  <c r="D42" i="7" l="1"/>
  <c r="E42" i="7"/>
  <c r="D43" i="7" l="1"/>
  <c r="E43" i="7"/>
  <c r="E44" i="7" l="1"/>
  <c r="D44" i="7"/>
  <c r="E45" i="7" l="1"/>
  <c r="D45" i="7"/>
  <c r="D46" i="7" l="1"/>
  <c r="E46" i="7"/>
  <c r="E47" i="7" l="1"/>
  <c r="D47" i="7"/>
  <c r="E48" i="7" l="1"/>
  <c r="D48" i="7"/>
  <c r="D49" i="7" l="1"/>
  <c r="E49" i="7"/>
  <c r="D50" i="7" l="1"/>
  <c r="E50" i="7"/>
  <c r="D51" i="7" l="1"/>
  <c r="E51" i="7"/>
  <c r="E52" i="7" l="1"/>
  <c r="D52" i="7"/>
  <c r="D53" i="7" l="1"/>
  <c r="E5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</author>
  </authors>
  <commentList>
    <comment ref="G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SUP.9 Non-confirmance List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식별된</t>
        </r>
        <r>
          <rPr>
            <sz val="9"/>
            <color indexed="81"/>
            <rFont val="Tahoma"/>
            <family val="2"/>
          </rPr>
          <t xml:space="preserve"> ID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</author>
    <author>USER</author>
    <author>tc={FF703C7F-07F6-4C9E-9868-2396749940F7}</author>
  </authors>
  <commentList>
    <comment ref="G2" authorId="0" shapeId="0" xr:uid="{CE79DE48-B4A8-4389-B26F-CD9243B1D362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검토 수행 날짜 및 시간</t>
        </r>
        <r>
          <rPr>
            <b/>
            <sz val="8"/>
            <color indexed="81"/>
            <rFont val="맑은고딕"/>
            <family val="3"/>
            <charset val="129"/>
          </rPr>
          <t xml:space="preserve"> </t>
        </r>
      </text>
    </comment>
    <comment ref="N3" authorId="1" shapeId="0" xr:uid="{2A4050E2-3B1C-4493-A2AE-D1C4AF492A43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기능안전 프로젝트를 진행하는 경우 -&gt; ASIL 등급 표시
A-SPICE 프로젝트만 하는 경우 -&gt; QM으로 표시</t>
        </r>
      </text>
    </comment>
    <comment ref="P3" authorId="1" shapeId="0" xr:uid="{C276B071-65B9-4AD9-A26D-85B0AF1B33EF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N/A 항목 개수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2" shapeId="0" xr:uid="{FF703C7F-07F6-4C9E-9868-2396749940F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대상 문서가 참조하고 있는 산출물명, 버전포함</t>
      </text>
    </comment>
  </commentList>
</comments>
</file>

<file path=xl/sharedStrings.xml><?xml version="1.0" encoding="utf-8"?>
<sst xmlns="http://schemas.openxmlformats.org/spreadsheetml/2006/main" count="959" uniqueCount="475">
  <si>
    <t>1) Walkthrough</t>
    <phoneticPr fontId="1" type="noConversion"/>
  </si>
  <si>
    <t>2) Inspection</t>
    <phoneticPr fontId="1" type="noConversion"/>
  </si>
  <si>
    <t xml:space="preserve"> Status of Review</t>
    <phoneticPr fontId="1" type="noConversion"/>
  </si>
  <si>
    <t>판정 기준</t>
    <phoneticPr fontId="1" type="noConversion"/>
  </si>
  <si>
    <t>차종/아이템</t>
    <phoneticPr fontId="1" type="noConversion"/>
  </si>
  <si>
    <r>
      <rPr>
        <b/>
        <sz val="8"/>
        <color theme="4"/>
        <rFont val="맑은 고딕"/>
        <family val="3"/>
        <charset val="129"/>
        <scheme val="minor"/>
      </rPr>
      <t>OK :</t>
    </r>
    <r>
      <rPr>
        <b/>
        <sz val="8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체크리스트 문항을 만족</t>
    </r>
    <phoneticPr fontId="1" type="noConversion"/>
  </si>
  <si>
    <t>준수율</t>
    <phoneticPr fontId="1" type="noConversion"/>
  </si>
  <si>
    <r>
      <rPr>
        <b/>
        <sz val="8"/>
        <color theme="4"/>
        <rFont val="맑은 고딕"/>
        <family val="3"/>
        <charset val="129"/>
        <scheme val="minor"/>
      </rPr>
      <t>OK But :</t>
    </r>
    <r>
      <rPr>
        <b/>
        <sz val="8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부적합 사항이 고객 및 관련자와의 협의가 된 상황에서 충분히 수용가능하여 조건부 만족</t>
    </r>
    <phoneticPr fontId="1" type="noConversion"/>
  </si>
  <si>
    <t>검토타입</t>
    <phoneticPr fontId="1" type="noConversion"/>
  </si>
  <si>
    <t>적합</t>
    <phoneticPr fontId="1" type="noConversion"/>
  </si>
  <si>
    <r>
      <rPr>
        <b/>
        <sz val="8"/>
        <color rgb="FFFF0000"/>
        <rFont val="맑은 고딕"/>
        <family val="3"/>
        <charset val="129"/>
        <scheme val="minor"/>
      </rPr>
      <t>NG :</t>
    </r>
    <r>
      <rPr>
        <sz val="8"/>
        <color theme="1"/>
        <rFont val="맑은 고딕"/>
        <family val="3"/>
        <charset val="129"/>
        <scheme val="minor"/>
      </rPr>
      <t xml:space="preserve"> 내용이 미비하여 체크리스트 항목을 만족하지 않는 경우</t>
    </r>
    <phoneticPr fontId="1" type="noConversion"/>
  </si>
  <si>
    <t>ASIL</t>
    <phoneticPr fontId="1" type="noConversion"/>
  </si>
  <si>
    <t>부적합</t>
    <phoneticPr fontId="1" type="noConversion"/>
  </si>
  <si>
    <t>No</t>
    <phoneticPr fontId="1" type="noConversion"/>
  </si>
  <si>
    <r>
      <rPr>
        <b/>
        <sz val="8"/>
        <color rgb="FF7030A0"/>
        <rFont val="맑은 고딕"/>
        <family val="3"/>
        <charset val="129"/>
        <scheme val="minor"/>
      </rPr>
      <t>N/A</t>
    </r>
    <r>
      <rPr>
        <b/>
        <sz val="8"/>
        <color rgb="FFFF0000"/>
        <rFont val="맑은 고딕"/>
        <family val="3"/>
        <charset val="129"/>
        <scheme val="minor"/>
      </rPr>
      <t xml:space="preserve">  </t>
    </r>
    <r>
      <rPr>
        <b/>
        <sz val="8"/>
        <color theme="1"/>
        <rFont val="맑은 고딕"/>
        <family val="3"/>
        <charset val="129"/>
        <scheme val="minor"/>
      </rPr>
      <t>:</t>
    </r>
    <r>
      <rPr>
        <sz val="8"/>
        <color theme="1"/>
        <rFont val="맑은 고딕"/>
        <family val="3"/>
        <charset val="129"/>
        <scheme val="minor"/>
      </rPr>
      <t xml:space="preserve"> 리뷰 시점에 체크리스트 항목이 확인되지 않는 경우 / 미적용인 경우</t>
    </r>
    <phoneticPr fontId="1" type="noConversion"/>
  </si>
  <si>
    <t>SL Verification Review Strategy</t>
    <phoneticPr fontId="1" type="noConversion"/>
  </si>
  <si>
    <t>Status of Review</t>
    <phoneticPr fontId="1" type="noConversion"/>
  </si>
  <si>
    <t>준수율 (%)</t>
    <phoneticPr fontId="1" type="noConversion"/>
  </si>
  <si>
    <t>부적합 율 (%)</t>
    <phoneticPr fontId="1" type="noConversion"/>
  </si>
  <si>
    <t>부적합 번호</t>
    <phoneticPr fontId="1" type="noConversion"/>
  </si>
  <si>
    <t>부적합 체크리스트 내용</t>
    <phoneticPr fontId="1" type="noConversion"/>
  </si>
  <si>
    <t>참석자</t>
    <phoneticPr fontId="1" type="noConversion"/>
  </si>
  <si>
    <t xml:space="preserve">체크리스트 </t>
    <phoneticPr fontId="1" type="noConversion"/>
  </si>
  <si>
    <t>상세 심사 내용</t>
    <phoneticPr fontId="1" type="noConversion"/>
  </si>
  <si>
    <t>3. Verification Review Criteria</t>
    <phoneticPr fontId="1" type="noConversion"/>
  </si>
  <si>
    <t>사전 점검 여부</t>
    <phoneticPr fontId="1" type="noConversion"/>
  </si>
  <si>
    <t xml:space="preserve">검토 날짜 및 시간 </t>
    <phoneticPr fontId="1" type="noConversion"/>
  </si>
  <si>
    <t>미 해당 항목</t>
    <phoneticPr fontId="1" type="noConversion"/>
  </si>
  <si>
    <t>판정</t>
    <phoneticPr fontId="1" type="noConversion"/>
  </si>
  <si>
    <t>해당 항목</t>
    <phoneticPr fontId="1" type="noConversion"/>
  </si>
  <si>
    <t>리뷰대상 문서명 및 버전</t>
    <phoneticPr fontId="1" type="noConversion"/>
  </si>
  <si>
    <t>역할</t>
    <phoneticPr fontId="1" type="noConversion"/>
  </si>
  <si>
    <t>Author</t>
    <phoneticPr fontId="1" type="noConversion"/>
  </si>
  <si>
    <t>Moderator (사회자)</t>
    <phoneticPr fontId="1" type="noConversion"/>
  </si>
  <si>
    <t>Leader (의사결정자)</t>
    <phoneticPr fontId="1" type="noConversion"/>
  </si>
  <si>
    <t>Recorder (기록자)</t>
    <phoneticPr fontId="1" type="noConversion"/>
  </si>
  <si>
    <t>Department/Author</t>
    <phoneticPr fontId="10" type="noConversion"/>
  </si>
  <si>
    <t>Version</t>
    <phoneticPr fontId="10" type="noConversion"/>
  </si>
  <si>
    <t>Date</t>
    <phoneticPr fontId="10" type="noConversion"/>
  </si>
  <si>
    <t>Description of Change</t>
    <phoneticPr fontId="10" type="noConversion"/>
  </si>
  <si>
    <t>Template change Record</t>
    <phoneticPr fontId="10" type="noConversion"/>
  </si>
  <si>
    <t>Vehicle</t>
    <phoneticPr fontId="10" type="noConversion"/>
  </si>
  <si>
    <t>:</t>
    <phoneticPr fontId="10" type="noConversion"/>
  </si>
  <si>
    <t>Customer</t>
    <phoneticPr fontId="10" type="noConversion"/>
  </si>
  <si>
    <t>Department/Author</t>
    <phoneticPr fontId="10" type="noConversion"/>
  </si>
  <si>
    <t>Document Number</t>
    <phoneticPr fontId="10" type="noConversion"/>
  </si>
  <si>
    <t xml:space="preserve">  </t>
    <phoneticPr fontId="1" type="noConversion"/>
  </si>
  <si>
    <t>1. Verification Review 범위</t>
    <phoneticPr fontId="1" type="noConversion"/>
  </si>
  <si>
    <t xml:space="preserve"> - 각 프로세스 산출물에 대한 검토 활동을 정의 한다.</t>
    <phoneticPr fontId="1" type="noConversion"/>
  </si>
  <si>
    <t>2. Verification Review  수행 방법</t>
    <phoneticPr fontId="1" type="noConversion"/>
  </si>
  <si>
    <t xml:space="preserve"> - Review는 "Work Product Review Checklist" 기준으로 수행하고, 기능안전팀 프로세스 각 담당자들은 Review 수행 이전에 체크리스트 항목, Review 방법에 대해 작성자 및 Review 참석들에게 가이드를 해야 한다.</t>
    <phoneticPr fontId="1" type="noConversion"/>
  </si>
  <si>
    <t xml:space="preserve"> - Review의 주관은 문서 작성자(Author)가 주관 하고, Review 참석자들에게 Review 일주일전에 참석을 요청 한다. </t>
    <phoneticPr fontId="1" type="noConversion"/>
  </si>
  <si>
    <t xml:space="preserve">- "Walkthrough"의 경우, 문서 작성자(Author)는 Review 이전에 작성한 산출물에 대해 체크리스트 기반으로 사전 검토 후 참석 한다. </t>
    <phoneticPr fontId="1" type="noConversion"/>
  </si>
  <si>
    <t xml:space="preserve">- "Inspection"의 경우, 문서 작성자(Author)는 작성 완료 된 산출물 및 체크리스트를 Review 참석자들에게 Review 일주일전에 배포하고, Review 참석자들은 전달받은 산출물을 체크리스트 기반으로 사전 점검 하여 Review에 참석 한다. </t>
    <phoneticPr fontId="1" type="noConversion"/>
  </si>
  <si>
    <t xml:space="preserve">-  산출물 Review 수행 시, Review 수행에 대한 독립성은 다음 기준을 참고 하여, Project plan의 Verification Strategy 수립 시, 반영 한다. </t>
    <phoneticPr fontId="1" type="noConversion"/>
  </si>
  <si>
    <t xml:space="preserve">    (I0 : 옵션, 다른 사람으로부터,  I1 : 필수, 다른 사람으로부터,  I2 : 필수, 다른 팀의 사람으로부터,  I3 : 필수, 다른 회사의 사람으로부터)</t>
    <phoneticPr fontId="1" type="noConversion"/>
  </si>
  <si>
    <t xml:space="preserve">- 각 R&amp;R 별로, (정), (부)의 관계를 가지고 담당자들이 프로세스를 수행 하는 경우에는, Review에는 (정)으로 되어 있는 담당자가 참석하고, (정) 담당자가 Review 참석 불가 할 경우, (부) 담당자가 참석 한다. </t>
    <phoneticPr fontId="1" type="noConversion"/>
  </si>
  <si>
    <t xml:space="preserve">   Review 진행 조건은, Reviewer가 3인 이상 참석 할 경우, 진행이 가능 하다. (단, 각 Role 별로 1명씩은 필수 참석 해야 되고, (부) 담당자로만 2명 이상으로 구성 될 경우, Review는 진행 하지 않고 연기 한다.) </t>
    <phoneticPr fontId="1" type="noConversion"/>
  </si>
  <si>
    <t xml:space="preserve">- Review 수행 시, 문서 작성자(Author)는 Review에 필요한 각 역할을 지정한다. 체크리스트 기반으로 점검하고 기록할 Recorder를 선정하고, 사회자 (Moderator) 및 의사 결정자 (Leader)를 선정한다. 사회자 및 의사 결정자는 Review 참석자 중에 최상위 선임자가 수행한다.  </t>
    <phoneticPr fontId="1" type="noConversion"/>
  </si>
  <si>
    <t xml:space="preserve">- 사회자 (Moderator)는 Review가 진행 될 수 있도록 중재 및 조율을 담당한다. 의사결정자 (Leader)는 Review 수행 시 결정 할 사항이 발생 될 경우, 방향을 결정하는 역할을 수행한다. </t>
  </si>
  <si>
    <t xml:space="preserve">  (단, Walkthrough의 경우에는 사회자 (Moderator) 역할은 필요 없고, 사회자 역할을 문서 작성자 (Author)가 수행 한다. 의사 결정자(Leader)는 지정 필요)</t>
    <phoneticPr fontId="1" type="noConversion"/>
  </si>
  <si>
    <t xml:space="preserve"> - Review는 2시간 이내로 수행한다. </t>
  </si>
  <si>
    <t xml:space="preserve"> - 문서 작성자(Author)가 Review 참석자들에게 Review 일정을 일주일 이전에 공지한다. (WBS 기준) </t>
    <phoneticPr fontId="1" type="noConversion"/>
  </si>
  <si>
    <t xml:space="preserve"> - 문서 작성자(Author)는 Review 수행 이전에 "Work Product Review Checklist" 기준으로 작성 완료한 산출물을 사전 점검 하여 Review에 참석 한다. </t>
  </si>
  <si>
    <t xml:space="preserve"> - Review 수행 시, Review 진행은 문서 작성자(Author)에 의해 진행 되고, 의사결정이 필요한 사항들에 대해서는 의사결정자 (Leader)에 의해 결정 되거나 Recorder에 의해 이슈 사항으로 기록 된다. </t>
  </si>
  <si>
    <t xml:space="preserve"> - Review 수행 시, Review 항목 점검은 기록자 (Recorder)가 "Work Product Review Checklist" 기준으로 점검 하고 작성 한다. </t>
  </si>
  <si>
    <t xml:space="preserve"> - 기록자 (Recorder)는 Review 수행 완료 이후, Review를 통해 식별된 이슈 사항들을 PRM에게 전달하고, PRM은 "Non-conformance List"에 등재하고 모니터링 관리 한다. </t>
    <phoneticPr fontId="1" type="noConversion"/>
  </si>
  <si>
    <t xml:space="preserve"> - 문서 작성자(Author)는 Review 수행 일주일 이전에 Review 대상인 산출물 및 체크리스트를 Review자들에게 배포하고 사전 검토 하여 참석 할 것을 요청 한다.  </t>
  </si>
  <si>
    <t xml:space="preserve"> - Review 참석자들은 전달 받은 산출물 체크리스트를 기반으로 Review 대상 산출물을 사전 점검하여 Review에 참석 한다. </t>
  </si>
  <si>
    <t xml:space="preserve"> - Review 수행 시, Review 진행은 사회자 (Moderator)에 의해 진행 되고, 의사결정이 필요한 사항들에 대해서는 의사결정자 (Leader)에 의해 결정 되거나 Recorder에 의해 이슈 사항으로 기록 된다. </t>
  </si>
  <si>
    <t xml:space="preserve"> - 각 마일스톤 별 Verification Review Criteria는 아래 테이블을 참고한다. (SL Lifecycle 기반 Review Criteria)</t>
    <phoneticPr fontId="1" type="noConversion"/>
  </si>
  <si>
    <t xml:space="preserve">   프로젝트마다 마일스톤 및 Lifecycle 운영 전략이 다르므로, 참고로 활용 하고 상세 Review Criteria는 E PM 주관으로 각 프로젝트에서 상세히 정의 한다. </t>
    <phoneticPr fontId="1" type="noConversion"/>
  </si>
  <si>
    <t>검토 시점</t>
  </si>
  <si>
    <t>리뷰대상 문서 경로</t>
  </si>
  <si>
    <t>적용 프로세스</t>
    <phoneticPr fontId="1" type="noConversion"/>
  </si>
  <si>
    <t>Non-conformance ID</t>
    <phoneticPr fontId="1" type="noConversion"/>
  </si>
  <si>
    <t xml:space="preserve"> - Review는 ASPICE 프로세스가 적용되거나 기능안전의 경우 ASIL B 이상의 아이템인 경우 "Inspection" 방법으로 수행하고, 그 외의 경우에는 "Walkthrough"방법으로 수행한다.</t>
    <phoneticPr fontId="1" type="noConversion"/>
  </si>
  <si>
    <t>상세 심사내용</t>
    <phoneticPr fontId="1" type="noConversion"/>
  </si>
  <si>
    <t>Pre-Review Report  저장 경로</t>
    <phoneticPr fontId="1" type="noConversion"/>
  </si>
  <si>
    <t>2020.04.01</t>
  </si>
  <si>
    <t>기능안전팀/
김윤겸, 방지현</t>
  </si>
  <si>
    <t>최초 개정</t>
  </si>
  <si>
    <t>2020.04.22</t>
  </si>
  <si>
    <t>조치 내용' 항목 추가 및 목록 명칭 수정</t>
  </si>
  <si>
    <t>2020.06.22</t>
  </si>
  <si>
    <t>- '적용/미적용' 항목 
   삭제
- 준수율, 부적합율 
  소수 첫째자리까지 
  표현
- 관련 문서명 및 버전 
- 참석자 관련 역할 
  정의
- VR 전략 수정
  병합하여 작성</t>
  </si>
  <si>
    <t>2020.06.30</t>
  </si>
  <si>
    <t>- Sheet 명 수정
- 'Verification Review Report' 
  Sheet 항목 일부 수정 (참석자,
 리뷰대상 문서명 및 버전, 사전 
 점검 자료 저장소, 사전 점검 
 여부)
- 결제창 수정</t>
  </si>
  <si>
    <t>2022.02.28</t>
  </si>
  <si>
    <t>기능안전팀/ 김윤겸</t>
  </si>
  <si>
    <t xml:space="preserve">- Verification Review 전략 내용 수정 </t>
  </si>
  <si>
    <t>2022.04.14</t>
  </si>
  <si>
    <t>- SYS/ HW/ SW 검증 관련 산출물 Walkthrough Review에 대한 제약 사항 내용 가이드라인에 추가</t>
  </si>
  <si>
    <t>2023.03.24</t>
    <phoneticPr fontId="1" type="noConversion"/>
  </si>
  <si>
    <t>기능안전팀/ 박언지</t>
    <phoneticPr fontId="1" type="noConversion"/>
  </si>
  <si>
    <t>Summary 시트 수정(PR ID 작성, 상세 심사 내용 작성란 추가 등)</t>
    <phoneticPr fontId="1" type="noConversion"/>
  </si>
  <si>
    <t>조치 확인자</t>
    <phoneticPr fontId="1" type="noConversion"/>
  </si>
  <si>
    <t>* 검토 회의 시 발생한 이슈사항 작성 (결함 내용은 작성하지 않는다)</t>
    <phoneticPr fontId="1" type="noConversion"/>
  </si>
  <si>
    <t>ㅏ</t>
    <phoneticPr fontId="1" type="noConversion"/>
  </si>
  <si>
    <t>"Software Requirements Specification" Verification Review Summary</t>
    <phoneticPr fontId="1" type="noConversion"/>
  </si>
  <si>
    <t>"Software Requirements Specification" Review Report</t>
    <phoneticPr fontId="1" type="noConversion"/>
  </si>
  <si>
    <t>1.0</t>
    <phoneticPr fontId="1" type="noConversion"/>
  </si>
  <si>
    <t>2023.11.24</t>
    <phoneticPr fontId="1" type="noConversion"/>
  </si>
  <si>
    <t>템플릿 3.0 개정에 따른 버전업</t>
    <phoneticPr fontId="1" type="noConversion"/>
  </si>
  <si>
    <t>기능안전팀/
김윤겸, 방지현</t>
    <phoneticPr fontId="1" type="noConversion"/>
  </si>
  <si>
    <t>기능안전팀/ 임채홍, 정현욱</t>
    <phoneticPr fontId="1" type="noConversion"/>
  </si>
  <si>
    <t>Work Product Review Report v3.1 템플릿 적용
- 템플릿 변경에 따른 체크 항목 변경
- 요구사항의 체크내용을 통합하고 각 항목을 상세히 검토 할 수 있도록 수정</t>
    <phoneticPr fontId="1" type="noConversion"/>
  </si>
  <si>
    <t>Role</t>
    <phoneticPr fontId="1" type="noConversion"/>
  </si>
  <si>
    <t>Responsibility</t>
    <phoneticPr fontId="1" type="noConversion"/>
  </si>
  <si>
    <t>Resolution Reviewer (조치 확인자)</t>
    <phoneticPr fontId="1" type="noConversion"/>
  </si>
  <si>
    <t>SYS PE</t>
    <phoneticPr fontId="1" type="noConversion"/>
  </si>
  <si>
    <t>SW PE(BSP)</t>
    <phoneticPr fontId="1" type="noConversion"/>
  </si>
  <si>
    <t>기능안전팀/ 배진호</t>
    <phoneticPr fontId="1" type="noConversion"/>
  </si>
  <si>
    <t>Item</t>
    <phoneticPr fontId="10" type="noConversion"/>
  </si>
  <si>
    <t>224.12.31</t>
    <phoneticPr fontId="1" type="noConversion"/>
  </si>
  <si>
    <t>Work Product Review Report v4.0 템플릿 적용
- 'Cover'Sheet 수정
- 템플릿 변경에 따른 체크 항목 변경
- 요구사항의 체크내용을 통합하고 각 항목을 상세히 검토 할 수 있도록 수정</t>
    <phoneticPr fontId="1" type="noConversion"/>
  </si>
  <si>
    <t>관련 문서명 및 버전</t>
    <phoneticPr fontId="1" type="noConversion"/>
  </si>
  <si>
    <t>산출물 명</t>
    <phoneticPr fontId="1" type="noConversion"/>
  </si>
  <si>
    <t>버전</t>
    <phoneticPr fontId="1" type="noConversion"/>
  </si>
  <si>
    <t>* 검토 타입이 Inspection인 경우, Moderator가 Reader 역할을 수행하고 Walkthrough인 경우, Author가 Reader 역할을 수행한다.</t>
    <phoneticPr fontId="1" type="noConversion"/>
  </si>
  <si>
    <t>소프트웨어 기능의 Risk 등급이 SW Function Risk Analysis 통해 도출된 결과를 기반으로 작성되어 있는가?
(Software Diagram)</t>
    <phoneticPr fontId="1" type="noConversion"/>
  </si>
  <si>
    <t>각 State Requirement에 대한 항목은 소프트웨어 상태 천이도를 기반으로 누락없이 적절히 작성되어 었는가?
(State Requirements)</t>
    <phoneticPr fontId="1" type="noConversion"/>
  </si>
  <si>
    <t>각 Transition Requirement에 대한 항목은 소프트웨어 상태 천이도를 기반으로 누락없이 적절히 작성되어 었는가?
(Transition Requirements)</t>
    <phoneticPr fontId="1" type="noConversion"/>
  </si>
  <si>
    <t>각 Safe State Requirement에 대한 항목은 소프트웨어 상태 천이도를 기반으로 누락없이 적절히 작성되어 었는가?
(Safe State Requirements)</t>
    <phoneticPr fontId="1" type="noConversion"/>
  </si>
  <si>
    <t>각 소프트웨어 안전 상태 요구사항의 기능안전 ASIL 등급 작성 시 아래 조건에 맞게 작성하였는가?
(Safe State Requirements)
-일반적으로 추적하는 상위 시스템 요구사항의 최고 수준의 ASIL 등급을 똑같이 유지 하되, ISO26262의 표준에 기반하여 상위 요구사항의 ASIL 등급을 Decomposition 하여 등급을 낮힐 수 있음.</t>
    <phoneticPr fontId="1" type="noConversion"/>
  </si>
  <si>
    <t>각 Safe Transition Requirement에 대한 항목은 소프트웨어 상태 천이도를 기반으로 누락없이 적절히 작성되어 었는가?
(Safe Transition Requirements)</t>
    <phoneticPr fontId="1" type="noConversion"/>
  </si>
  <si>
    <t>각 소프트웨어 안전 천이 요구사항의 기능안전 ASIL 등급 작성 시 아래 조건에 맞게 작성하였는가?
(Safe Transition Requirements)
-일반적으로 추적하는 상위 시스템 요구사항의 최고 수준의 ASIL 등급을 똑같이 유지 하되, ISO26262의 표준에 기반하여 상위 요구사항의 ASIL 등급을 Decomposition 하여 등급을 낮힐 수 있음.</t>
    <phoneticPr fontId="1" type="noConversion"/>
  </si>
  <si>
    <t>Interface Name 항목이 상위문서(HSI Specification)과 누락/과다 없이 일치 하는가?
(Interface Requirements)</t>
    <phoneticPr fontId="1" type="noConversion"/>
  </si>
  <si>
    <t>각 소프트웨어 안전 요구사항의 기능안전 ASIL 등급 작성 시 아래 조건에 맞게 작성하였는가?
(Safety Functional Requirements)
-일반적으로 추적하는 상위 시스템 요구사항의 최고 수준의 ASIL 등급을 똑같이 유지 하되, ISO26262의 표준에 기반하여 상위 요구사항의 ASIL 등급을 Decomposition 하여 등급을 낮힐 수 있음.</t>
    <phoneticPr fontId="1" type="noConversion"/>
  </si>
  <si>
    <t>각 소프트웨어 비기능 안전 요구사항의 기능안전 ASIL 등급 작성 시 아래 조건에 맞게 작성하였는가?
(Non-Functional Safety Requirements)
-일반적으로 추적하는 상위 시스템 요구사항의 최고 수준의 ASIL 등급을 똑같이 유지 하되, ISO26262의 표준에 기반하여 상위 요구사항의 ASIL 등급을 Decomposition 하여 등급을 낮힐 수 있음.</t>
    <phoneticPr fontId="1" type="noConversion"/>
  </si>
  <si>
    <t>Reviewer</t>
    <phoneticPr fontId="1" type="noConversion"/>
  </si>
  <si>
    <t>각 Safety Requirement의 FHTI는 기능안전 달성 가능 하도록 적절히 정의 되었는가?
(Safety Functional Requirements)
- 상위 요구사항을 만족 할 수 있도록 FHTI가 작성 되어 있는지?
  (시스템 기능안전 요구사항 내에 SyTSR 또는 Safety Mechanism List 내에 SM FDTI+FRTI ≥ 관련 하드웨어 안전요구사항의 FHTI + SwR_SR의 FHTI)
- FHTI가 SW수준에서 설계&amp;구현 가능한 수준인지?
- FHTI를 Detection Time + Reaction Time으로 구분하여 작성 하였는지?(구분할 수 있는 경우)</t>
    <phoneticPr fontId="1" type="noConversion"/>
  </si>
  <si>
    <t>문서의 개발 목적이 정의되어 있으며, 다루고 있는 내용의 범위가 정확하게 기술되어 있는가?
(Scope)</t>
    <phoneticPr fontId="1" type="noConversion"/>
  </si>
  <si>
    <t>Software Requirement Specification 문서 개발에 필요한 모든 참조 대상 문서가 식별되어 적절히 정의되어 있는가?
(Reference)
- 문서이름, 설명, 버전 및 날짜가 누락없이 참조한 모든 문서를 정의하였는가?
- 문서 개발 시 참조한 문서가 최신 버전 상태를 유지하고 있는가? 
단, 최신 버전과 구 버전의 참조 내용이 차이가 없는 경우 구 버전 참조 가능함</t>
    <phoneticPr fontId="1" type="noConversion"/>
  </si>
  <si>
    <t xml:space="preserve">요구사항의 기술 구현 가능성에 대해 검토하였는가?
(Non-Functional Requirements)
- 요구사항 마다 Feasibility 모두 Yes 인지 확인 
- Conditional Yes로 작성된 경우 적절한 사유를 확인  
- N/A로 작성된 경우 적절한 사유를 확인
- 하위단계 전개를 위한 기술 구현 가능성 점검이 잘못된 부분이 없는지 확인 </t>
    <phoneticPr fontId="1" type="noConversion"/>
  </si>
  <si>
    <t xml:space="preserve">요구사항의 기술 구현 가능성에 대해 검토하였는가?
(Non-Functional Safety Requirements)
- 요구사항 마다 Feasibility 모두 Yes 인지 확인 
- Conditional Yes로 작성된 경우 적절한 사유를 확인 
- N/A로 작성된 경우 적절한 사유를 확인
- 하위단계 전개를 위한 기술 구현 가능성 점검이 잘못된 부분이 없는지 확인 </t>
    <phoneticPr fontId="1" type="noConversion"/>
  </si>
  <si>
    <t>각 Non-Functional Safety Requirement는 관련된 시스템 요구사항서에서 SW로 할당된 요구사항을 기반으로 누락없이 적절히 작성되어 있는가?
(Non-Functional Safety Requirements)
- 필요한 비 기능 요구사항이 누락되어 있는것이 없는지 확인
- 이 외 추가 고려 필요한 타입이 있다면 별도 항목으로 식별 하였는지 확인</t>
    <phoneticPr fontId="1" type="noConversion"/>
  </si>
  <si>
    <t>각 Non-Functional Requirement는 관련된 시스템 요구사항서에서 SW로 할당된 요구사항을 기반으로 누락없이 적절히 작성되어 있는가?
(Non-Functional Requirements)
- 필요한 비 기능 요구사항이 누락되어 있는것이 없는지 확인
- 이 외 추가 고려 필요한 타입이 있다면 별도 항목으로 식별 하였는지 확인</t>
    <phoneticPr fontId="1" type="noConversion"/>
  </si>
  <si>
    <t>각 Functional Requirements의 Contents는 빠짐없이 정의 되어 있고, 요구사항 작성에 필요한 속성을 모두 만족하였는가?
(Functional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</si>
  <si>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SW Function List를 기반으로  SW Element가 SW Context Diagram에 모두 적절히 정의되어 있는가?
(Software Diagram)</t>
    <phoneticPr fontId="1" type="noConversion"/>
  </si>
  <si>
    <t>SW Safety Function List를 기반으로 SW Element가 SW Context Diagram에 모두 적절히 정의되어 있는가?
(Software Diagram)</t>
    <phoneticPr fontId="1" type="noConversion"/>
  </si>
  <si>
    <t xml:space="preserve">요구사항의 기술 구현 가능성에 대해 검토하였는가?
(State Requirements)
- 요구사항 마다 Feasibility 모두 Yes 인지 확인 
- 하위단계 전개를 위한 기술 구현 가능성 점검이 잘못된 부분이 없는지 확인 </t>
    <phoneticPr fontId="1" type="noConversion"/>
  </si>
  <si>
    <t xml:space="preserve">요구사항의 기술 구현 가능성에 대해 검토하였는가?
(Transition Requirements)
- 요구사항 마다 Feasibility 모두 Yes 인지 확인 
- 하위단계 전개를 위한 기술 구현 가능성 점검이 잘못된 부분이 없는지 확인 </t>
    <phoneticPr fontId="1" type="noConversion"/>
  </si>
  <si>
    <t xml:space="preserve">요구사항의 기술 구현 가능성에 대해 검토하였는가?
(Safe State Requirements)
- 요구사항 마다 Feasibility 모두 Yes 인지 확인 
- 하위단계 전개를 위한 기술 구현 가능성 점검이 잘못된 부분이 없는지 확인 </t>
    <phoneticPr fontId="1" type="noConversion"/>
  </si>
  <si>
    <t>요구사항의 기술 구현 가능성에 대해 검토하였는가?
(Safe Transition Requirements)
- 요구사항 마다 Feasibility 모두 Yes 인지 확인 
- 하위단계 전개를 위한 기술 구현 가능성 점검이 잘못된 부분이 없는지 확인</t>
    <phoneticPr fontId="1" type="noConversion"/>
  </si>
  <si>
    <t>요구사항의 기술 구현 가능성에 대해 검토하였는가?
(Interface Requirements)
- 요구사항 마다 Feasibility 모두 Yes 인지 확인 
- 하위단계 전개를 위한 기술 구현 가능성 점검이 잘못된 부분이 없는지 확인 
- FHTI가 구현가능하도록 작성되어 있는지 확인</t>
    <phoneticPr fontId="1" type="noConversion"/>
  </si>
  <si>
    <t>요구사항의 기술 구현 가능성에 대해 검토하였는가?
(Functional Requirements)
- 요구사항 마다 Feasibility 모두 Yes 인지 확인
- 하위단계 전개를 위한 기술 구현 가능성 점검이 잘못된 부분이 없는지 확인 
- Timing이 구현가능하도록 작성되어 있는지 확인</t>
    <phoneticPr fontId="1" type="noConversion"/>
  </si>
  <si>
    <t>요구사항의 기술 구현 가능성에 대해 검토하였는가?
(Safety Functional Requirements)
- 요구사항 마다 Feasibility 모두 Yes 인지 확인 
- 하위단계 전개를 위한 기술 구현 가능성 점검이 잘못된 부분이 없는지 확인 
- FHTI가 구현가능하도록 작성되어 있는지 확인</t>
    <phoneticPr fontId="1" type="noConversion"/>
  </si>
  <si>
    <t>Software Development Plan 전략에 따라 개발 하였는가?
-적절히 정의된 활동, Method, 가이드라인을 준수하여 개발 하였는지?</t>
    <phoneticPr fontId="1" type="noConversion"/>
  </si>
  <si>
    <t>NX5</t>
    <phoneticPr fontId="1" type="noConversion"/>
  </si>
  <si>
    <t>PLBM</t>
    <phoneticPr fontId="1" type="noConversion"/>
  </si>
  <si>
    <t>HKMC</t>
    <phoneticPr fontId="1" type="noConversion"/>
  </si>
  <si>
    <t>전동화SW설계1팀 / 배준역</t>
    <phoneticPr fontId="1" type="noConversion"/>
  </si>
  <si>
    <t>NX5/PLBM</t>
    <phoneticPr fontId="1" type="noConversion"/>
  </si>
  <si>
    <t>X</t>
    <phoneticPr fontId="1" type="noConversion"/>
  </si>
  <si>
    <t>A</t>
  </si>
  <si>
    <t>SW PE1(APP)</t>
    <phoneticPr fontId="1" type="noConversion"/>
  </si>
  <si>
    <t>NX5_PLBM-Software Development Plan</t>
    <phoneticPr fontId="1" type="noConversion"/>
  </si>
  <si>
    <t>NX5_PLBM-System Requirement Specification</t>
    <phoneticPr fontId="1" type="noConversion"/>
  </si>
  <si>
    <t>NX5_PLBM-System Design Specificaiton</t>
    <phoneticPr fontId="1" type="noConversion"/>
  </si>
  <si>
    <t>NX5_PLBM-Hardware Software Interface Specification</t>
    <phoneticPr fontId="1" type="noConversion"/>
  </si>
  <si>
    <t>배준역 선임</t>
    <phoneticPr fontId="1" type="noConversion"/>
  </si>
  <si>
    <t>한승훈 책임</t>
    <phoneticPr fontId="1" type="noConversion"/>
  </si>
  <si>
    <t>A-SPICE+Functional Safety</t>
  </si>
  <si>
    <t>SW PE3(APP)</t>
    <phoneticPr fontId="1" type="noConversion"/>
  </si>
  <si>
    <t>김대호 선임</t>
    <phoneticPr fontId="1" type="noConversion"/>
  </si>
  <si>
    <t>SW PE4(Static Verification)</t>
    <phoneticPr fontId="1" type="noConversion"/>
  </si>
  <si>
    <t>권영준 사원</t>
    <phoneticPr fontId="1" type="noConversion"/>
  </si>
  <si>
    <t>심정현 책임</t>
    <phoneticPr fontId="1" type="noConversion"/>
  </si>
  <si>
    <t>SW TE(Qualification)</t>
    <phoneticPr fontId="1" type="noConversion"/>
  </si>
  <si>
    <t>SW PE</t>
    <phoneticPr fontId="1" type="noConversion"/>
  </si>
  <si>
    <t>이호성 선임</t>
    <phoneticPr fontId="1" type="noConversion"/>
  </si>
  <si>
    <t>문서에서 사용한 용어 및 약어에 대한 적절히 정의가 적절히 정의되어 있는가?
(Terms and Abbreviations)
- 문서에 작성된 용어 및 약어에 대해 적절히 정의되고 설명 작성 여부 확인</t>
  </si>
  <si>
    <t>각 State Requirements는 상위 요구사항과의 양방향 추적성을 확보하였는가?
(State Requirements)
* 상위 요구사항 : 
System Requirement Specification 內 State Requirements, Transition Requirements
System Design Specification 內 HW-SW Interface</t>
    <phoneticPr fontId="1" type="noConversion"/>
  </si>
  <si>
    <t>각 State Requirements는 상위 요구사항과의 일관성을 확보하였는가?
(State Requirements)
* 상위 요구사항 : 
System Requirement Specification 內 State Requirements, Transition Requirements
System Design Specification 內 HW-SW Interface
- Traceability Rule_v4.0 기준대로 추적되어있는 상위 요구사항과의 일관성 점검이 잘못된 부분이 없는지 확인</t>
    <phoneticPr fontId="1" type="noConversion"/>
  </si>
  <si>
    <t>각 State Requirements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</si>
  <si>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Transition Requirements는 상위 요구사항과의 양방향 추적성을 확보하였는가?
(Transition Requirements)
* 상위 요구사항 : 
System Requirement Specification 內 State Requirements, Transition Requirements
System Design Specification 內 HW-SW Interface</t>
    <phoneticPr fontId="1" type="noConversion"/>
  </si>
  <si>
    <t>각 Transition Requirements는 상위 요구사항과의 일관성을 확보하였는가?
(Transition Requirements)
* 상위 요구사항 : 
System Requirement Specification 內 State Requirements, Transition Requirements
System Design Specification 內 HW-SW Interface
- Traceability Rule_v4.0 기준대로 추적되어있는 상위 요구사항과의 일관성 점검이 잘못된 부분이 없는지 확인</t>
    <phoneticPr fontId="1" type="noConversion"/>
  </si>
  <si>
    <t>각 Transition Requirements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</si>
  <si>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요구사항의 Verification Method (Test or Review)에 대한 관련 검증 담당자의 검토 결과는 문제 없는가? 
(Transition Requirements)
-검증 담당자와 Verification Reivew시 검증 밥법에 대해 모두 합의 필요
*관련 담당자
- SW PE(APP) : Verification-Review 담당
- SW TE(Qualification) : Verification-Requirement Test 담당</t>
  </si>
  <si>
    <t>각 Safe State Requirements의 Contents는 빠짐없이 정의 되어 있고, 요구사항 작성에 필요한 속성을 모두 만족하였는가?
(Safe State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</si>
  <si>
    <t>각 Safe State Requirements는 상위 요구사항과의 양방향 추적성을 확보하였는가?
(Safe State Requirements)
* 상위 요구사항 : 
System Requirement Specification 內 Safe State Requirements, Safe Transition Requirements
System Design Specification 內 HW-SW Interface</t>
    <phoneticPr fontId="1" type="noConversion"/>
  </si>
  <si>
    <t>각 Safe State Requirements는 상위 요구사항과의 일관성을 확보하였는가?
(Safe State Requirements)
* 상위 요구사항 : 
System Requirement Specification 內 Safe State Requirements, Safe Transition Requirements
System Design Specification 內 HW-SW Interface
- Traceability Rule_v4.0 기준대로 추적되어있는 상위 요구사항과의 일관성 점검이 잘못된 부분이 없는지 확인</t>
    <phoneticPr fontId="1" type="noConversion"/>
  </si>
  <si>
    <t>각 Safe State Requirements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 잘못된 부분이 없는지 확인</t>
    <phoneticPr fontId="1" type="noConversion"/>
  </si>
  <si>
    <t>각 요구사항의 Verification Method (Test or Review)에 대한 관련 검증 담당자의 검토 결과는 문제 없는가? 
(Safe State Requirements)
-검증 담당자와 Verification Reivew시 검증 밥법에 대해 모두 합의 필요
*관련 담당자
- SW PE(APP) : Verification-Review 담당
- SW TE(Qualification) : Verification-Requirement Test 담당</t>
  </si>
  <si>
    <t>각 Safe Transition Requirements의 Contents는 빠짐없이 정의 되어 있고, 요구사항 작성에 필요한 속성을 모두 만족하였는가?
(Safe Transition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</si>
  <si>
    <t>각 Safe Transition Requirements는 상위 요구사항과의 양방향 추적성을 확보하였는가?
(Safe Transition Requirements)
* 상위 요구사항 : 
System Requirement Specification 內 Safe State Requirements, Safe Transition Requirements
System Design Specification 內 HW-SW Interface</t>
    <phoneticPr fontId="1" type="noConversion"/>
  </si>
  <si>
    <t>각 Safe Transition Requirements는 상위 요구사항과의 일관성을 확보하였는가?
(Safe Transition Requirements)
* 상위 요구사항 : 
System Requirement Specification 內 Safe State Requirements, Safe Transition Requirements
System Design Specification 內 HW-SW Interface
- Traceability Rule_v4.0 기준대로 추적되어있는 상위 요구사항과의 일관성 점검이 잘못된 부분이 없는지 확인</t>
    <phoneticPr fontId="1" type="noConversion"/>
  </si>
  <si>
    <t>각 Safe Transition Requirements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</si>
  <si>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요구사항의 Verification Method (Test or Review)에 대한 관련 검증 담당자의 검토 결과는 문제 없는가? 
(Safe Transition Requirements)
-검증 담당자와 Verification Reivew시 검증 밥법에 대해 모두 합의 필요
*관련 담당자
- SW PE(APP) : Verification-Review 담당
- SW TE(Qualification) : Verification-Requirement Test 담당</t>
  </si>
  <si>
    <t>각 Interface Requirements는 상위 요구사항과의 양방향 추적성을 확보하였는가?
(Interface Requirements)
* 상위 요구사항 : 
System Design Specification 內 HW-SW Interface
HSI Specification</t>
    <phoneticPr fontId="1" type="noConversion"/>
  </si>
  <si>
    <t>각 Interface Requirements는 상위 요구사항과의 일관성을 확보하였는가?
(Interface Requirements)
* 상위 요구사항 : 
System Design Specification 內 HW-SW Interface
HSI Specification
- Traceability Rule_v4.0 기준대로 추적되어있는 상위 요구사항과의 일관성 점검이 잘못된 부분이 없는지 확인</t>
    <phoneticPr fontId="1" type="noConversion"/>
  </si>
  <si>
    <t>각 Interface Requirements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</si>
  <si>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요구사항의 Verification Method (Test or Review)에 대한 관련 검증 담당자의 검토 결과는 문제 없는가? 
(Interface Requirements)
-검증 담당자와 Verification Reivew시 검증 밥법에 대해 모두 합의 필요
*관련 담당자
- SW PE(APP) : Verification-Review 담당
- SW TE(Qualification) : Verification-Requirement Test 담당</t>
  </si>
  <si>
    <t>각 Functional Requirements는 상위 요구사항과의 양방향 추적성을 확보하였는가?
(Functional Requirements)
* 상위 요구사항 : 
System Requirements Specification 內, SW Allocation된 Requirment
System Desgin Specification 內, SW Allocation된 Requirment</t>
    <phoneticPr fontId="1" type="noConversion"/>
  </si>
  <si>
    <t>각 Functional Requirement은 Software Diagram 절의 SW Function List 및 관련된 시스템 요구사항과 일관성 있게 누락 없이 작성되어 있는가?
(Functional Requirements)
* 상위 요구사항 : 
System Requirements Specification 內, SW Allocation된 Requirment
System Desgin Specification 內, SW Allocation된 Requirment
- Traceability Rule_v4.0 기준대로 추적되어있는 상위 요구사항과의 일관성 점검이 잘못된 부분이 없는지 확인</t>
    <phoneticPr fontId="1" type="noConversion"/>
  </si>
  <si>
    <t>각 Functional Requirement은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</si>
  <si>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Non-Functional Requirements는 상위 요구사항과의 양방향 추적성을 확보하였는가?
(Non-Functional Requirements)
* 상위 요구사항 : 
System Requirements Specification 內, SW Allocation된 Requirment</t>
    <phoneticPr fontId="1" type="noConversion"/>
  </si>
  <si>
    <t>각 Non-Functional Requirements는 상위 요구사항과의 일관성을 확보하였는가?
(Non-Functional Requirements)
* 상위 요구사항 : 
System Requirements Specification 內, SW Allocation된 Requirment
- Traceability Rule_v4.0 기준대로 추적되어있는 상위 요구사항과의 일관성 점검이 잘못된 부분이 없는지 확인</t>
    <phoneticPr fontId="1" type="noConversion"/>
  </si>
  <si>
    <t>각 Non-Functional Requirements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</si>
  <si>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요구사항의 Verification Method (Test or Review)에 대한 관련 검증 담당자의 검토 결과는 문제 없는가? 
(Non-Functional Requirements)
-검증 담당자와 Verification Reivew시 검증 밥법에 대해 모두 합의 필요
*관련 담당자
- SW PE(APP) : Verification-Review 담당
- SW TE(Qualification) : Verification-Requirement Test 담당</t>
  </si>
  <si>
    <t>각 Safety Functional Requirements는 상위 요구사항과의 양방향 추적성을 확보하였는가?
(Safety Functional Requirements)
* 상위 요구사항 : 
System Requirements Specification 內, SW Allocation된 Requirment
System Desgin Specification 內, SW Allocation된 Requirment</t>
    <phoneticPr fontId="1" type="noConversion"/>
  </si>
  <si>
    <r>
      <t>각 Safety Requirement은 Software Diagram 절의 SW Safety Function List 및 관련된 시스템 요구사항, Safety Mechanism List와 일관성 있게 작성되어 있는가?
(Safety Functional Requirements)
* 상위 요구사항 : 
System Requirements Specification 內, SW Allocation된 Requirment
System Desgin Specification 內, SW Allocation된 Requirment
- 기능의 분류
- 각 요구사항의 상위 요구사항과 일관성
- Detection + Reaction 또는 Prevention 형태</t>
    </r>
    <r>
      <rPr>
        <sz val="8"/>
        <rFont val="맑은 고딕"/>
        <family val="3"/>
        <charset val="129"/>
        <scheme val="minor"/>
      </rPr>
      <t xml:space="preserve">
- Traceability Rule_v4.0 기준대로 추적되어있는 상위 요구사항과의 일관성 점검이 잘못된 부분이 없는지 확인</t>
    </r>
    <phoneticPr fontId="1" type="noConversion"/>
  </si>
  <si>
    <t>각 Safety Requirement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</si>
  <si>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요구사항의 Verification Method (Test or Review)에 대한 관련 검증 담당자의 검토 결과는 문제 없는가? 
(Safety Functional Requirements)
-검증 담당자와 Verification Reivew시 검증 밥법에 대해 모두 합의 필요
*관련 담당자
- SW PE(APP) : Verification-Review 담당
- SW TE(Qualification) : Verification-Requirement Test 담당</t>
  </si>
  <si>
    <t>각 Non-Functional Safety Requirements는 상위 요구사항과의 양방향 추적성을 확보하였는가?
(Non-Functional Safety Requirements)
* 상위 요구사항 : 
System Requirements Specification 內, SW Allocation된 Requirment</t>
    <phoneticPr fontId="1" type="noConversion"/>
  </si>
  <si>
    <t>각 Non-Functional Safety Requirements는 상위 요구사항과의 일관성을 확보하였는가?
(Non-Functional Safety Requirements)
* 상위 요구사항 : 
System Requirements Specification 內, SW Allocation된 Requirment
- Traceability Rule_v4.0 기준대로 추적되어있는 상위 요구사항과의 일관성 점검이 잘못된 부분이 없는지 확인</t>
    <phoneticPr fontId="1" type="noConversion"/>
  </si>
  <si>
    <t>각 Non-Functional Safety Requirements 요구사항은 논리적 오류나 모순이 없고, 명확하게 작성되어 있는가? (Correctness)
- 서로 다른 요구사항 간에 논리적인 충돌이나 상반되는 내용이 없는지 확인한다.
- 추상적인 표현(예: "빠르게", "안정적으로") 없이 명확한 기준이 제시되어 있는지 확인한다.
- 상기 내용을 확인하여 요구사항 내 Correctness가 모두 Y로 기재되었는지 확인한다.
- 상위 요구사항이 없는 경우 N/A로 작성되었는지 확인 
- 상위 요구사항과 시스템 요구사항 간에 일관성 점검이 잘못된 부분이 없는지 확인</t>
    <phoneticPr fontId="1" type="noConversion"/>
  </si>
  <si>
    <t>각 요구사항의 Verification Method (Test or Review)에 대한 관련 검증 담당자의 검토 결과는 문제 없는가? 
(Non-Functional Safety Requirements)
-검증 담당자와 Verification Reivew시 검증 밥법에 대해 모두 합의 필요
*관련 담당자
- SW PE(APP) : Verification-Review 담당
- SW TE(Qualification) : Verification-Requirement Test 담당</t>
  </si>
  <si>
    <t>/HMC_NX5_P-LBM/</t>
    <phoneticPr fontId="1" type="noConversion"/>
  </si>
  <si>
    <t>OK</t>
  </si>
  <si>
    <t>이정헌  사원</t>
    <phoneticPr fontId="1" type="noConversion"/>
  </si>
  <si>
    <t>v2.3</t>
    <phoneticPr fontId="1" type="noConversion"/>
  </si>
  <si>
    <t>P2</t>
    <phoneticPr fontId="1" type="noConversion"/>
  </si>
  <si>
    <t>Safety Mechanism List</t>
    <phoneticPr fontId="1" type="noConversion"/>
  </si>
  <si>
    <t>v2.5</t>
    <phoneticPr fontId="1" type="noConversion"/>
  </si>
  <si>
    <t>SW PE2 (APP)</t>
    <phoneticPr fontId="1" type="noConversion"/>
  </si>
  <si>
    <t>최기원 사원</t>
    <phoneticPr fontId="1" type="noConversion"/>
  </si>
  <si>
    <t>System Requirement Specifiaction에서 SW로 할당한 기능/안전 기능과 Software Diagram에 적절히 정의된 SW Function List, SW Safety Function List가 일관성을 유지 하는가?
(Software Diagram)
-누락 여부
-불필요한 기능은 없는지?
-SW Function/SW Safety Function
-비기능의 경우, 그 속성에 따라 표현 되지 않을 수 있다(법률, 성능 등)</t>
    <phoneticPr fontId="1" type="noConversion"/>
  </si>
  <si>
    <t>System Design Specification에서 적절히 정의된 System Architecture를 기반으로 Software Context Diagram이 일관성있게 적절히 정의 되었는가?
(Software Diagram)
-누락 여부
-Element, HW-SW Interface의 일관성 
-잘못된 적절히 정의는 없는지</t>
    <phoneticPr fontId="1" type="noConversion"/>
  </si>
  <si>
    <t>소프트웨어 수준으로 적절히 정의된 안전기능의 ASIL 등급이 상위 문서(시스템 요구사항 명세서)에서 적절히 정의된 등급을 상속하고 있는가?
(Software Diagram)</t>
    <phoneticPr fontId="1" type="noConversion"/>
  </si>
  <si>
    <t>시스템 요구사항에서 식별한 상태 천이도를 기반으로 소프트웨어 수준에서의 상태 및 천이도를 적절히 정의하였는가?
(State Transition Diagram)</t>
    <phoneticPr fontId="1" type="noConversion"/>
  </si>
  <si>
    <t>각 State Requirements의 Contents는 빠짐없이 정의 되어 있고, 요구사항 작성에 필요한 속성을 모두 만족하였는가?
(State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</si>
  <si>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각 요구사항의 Verification Method (Test or Review)에 대한 관련 검증 담당자의 검토 결과는 문제 없는가? 
(State Requirements)
-검증 담당자와 Verification Reivew시 검증 밥법에 대해 모두 합의 필요
*관련 담당자
- SW PE(APP) : Verification-Review 담당
- SW TE(Qualification) : Verification-Requirement Test 담당</t>
    <phoneticPr fontId="1" type="noConversion"/>
  </si>
  <si>
    <t>각 Transition Requirements의 Contents는 빠짐없이 정의 되어 있고, 요구사항 작성에 필요한 속성을 모두 만족하였는가?
(Transition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</si>
  <si>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각 Interface Requirements의 Contents는 빠짐없이 정의 되어 있고, 요구사항 작성에 필요한 속성을 모두 만족하였는가?
(Interface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</si>
  <si>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각 Non-Functional Requirements의 Contents는 빠짐없이 정의 되어 있고, 요구사항 작성에 필요한 속성을 모두 만족하였는가?
(Non-Functional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</si>
  <si>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각 Safety Functional Requirements의 Contents는 빠짐없이 정의 되어 있고, 요구사항 작성에 필요한 속성을 모두 만족하였는가?
(Safety Functional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</si>
  <si>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각 Non-Functional Safety Requirements의 Contents는 빠짐없이 정의 되어 있고, 요구사항 작성에 필요한 속성을 모두 만족하였는가?
(Non-Functional Safety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</si>
  <si>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Software의 기능 구현을 위한 Safety Requirement가 적절히 작성되어 있는가? 
(Non-Functional Safety Requirements)
- 모든 사람에게 동일한 의미로 해석되고, 단일 의미만 전달하도록 작성하였는가? (Unambiguous, Atomic)
- 누구나 쉽게 이해할 수 있도록 작성하였는가? (Comprehensible)
- 요구사항 구현에 필요한 정보가 빠짐없이 작성되었으며 불필요한 시스템 요구사항이 있는가? Ex. FHTI, Fault 정보, 입력조건, 판단기준 (Complete)
- 각 요구사항이 단일 목적을 가지게 작성 되었는가?(Atomic)
- Verification Method (Test/ Review)에 따른 Pass/Fail 판정을 위한 기준이 요구사항에 충분히 작성되어 있는지 확인 (Verifiable)</t>
    <phoneticPr fontId="1" type="noConversion"/>
  </si>
  <si>
    <t>시스템 요구사항 명세서와 HSI(Hardware-Software Interface)명세서에서 식별한 소프트웨어의 환경적 요인에 의한 특징을 적절히 정의하였는가?
(Identify Software Context Operating Environment)</t>
    <phoneticPr fontId="1" type="noConversion"/>
  </si>
  <si>
    <t>소프트웨어 요구사항 개발 후 각 요구사항이 'Idenfity Software Operating Environment'절에서 적절히 정의한 환경 특징에 부합되는지 빠짐없이 검토하였는가?
(Impact on the Software)</t>
    <phoneticPr fontId="1" type="noConversion"/>
  </si>
  <si>
    <t>System Requirements Specification - Software Requirements Specification</t>
    <phoneticPr fontId="1" type="noConversion"/>
  </si>
  <si>
    <t>System Design Specification - Software Requirements Specification</t>
    <phoneticPr fontId="1" type="noConversion"/>
  </si>
  <si>
    <t>HSI Specification - Software Requirements Specification</t>
    <phoneticPr fontId="1" type="noConversion"/>
  </si>
  <si>
    <t xml:space="preserve">요구사항에 대해 MAN.3 프로젝트 관리(공수/비용/일정 추정) 관점에서 영향 분석을 수행하였는가?
-	이슈 도출 시 NC 등록 및 조치/해결을 통해 프로젝트 관리를 지원하였는지 확인 (이슈 미도출 시 분석 수행 여부 확인) </t>
    <phoneticPr fontId="1" type="noConversion"/>
  </si>
  <si>
    <t>N/A</t>
  </si>
  <si>
    <t>Peer Review</t>
  </si>
  <si>
    <t>금번 내용과 동일하며 변경 없음</t>
    <phoneticPr fontId="1" type="noConversion"/>
  </si>
  <si>
    <t xml:space="preserve">상위 문서의 최신 버전을 참조함 </t>
    <phoneticPr fontId="1" type="noConversion"/>
  </si>
  <si>
    <t>CR Impact Analysis 관리적 영향분석 결과를 기반으로 조치 예정일 검토 시 문제없음을 확인하였음</t>
    <phoneticPr fontId="1" type="noConversion"/>
  </si>
  <si>
    <t>NX5 PLBM-Software Requirement Specification(v2.10)</t>
    <phoneticPr fontId="1" type="noConversion"/>
  </si>
  <si>
    <t>v2.11</t>
    <phoneticPr fontId="1" type="noConversion"/>
  </si>
  <si>
    <t>각 요구사항의 Verification Method (Test or Review)에 대한 관련 검증 담당자의 검토 결과는 문제 없는가? 
(Functional Requirements)
-검증 담당자와 Verification Reivew시 검증 밥법에 대해 모두 합의 필요
*관련 담당자
- SW PE(APP) : Verification-Review 담당
- SW TE(Qualification) : Verification-Requirement Test 담당</t>
    <phoneticPr fontId="1" type="noConversion"/>
  </si>
  <si>
    <t>Interface, Communication, RAM/ROM/Stack, EEPROM/Flash, MCU Performance, Software Platform에 대한 운영환경을 올바르게 식별함
하기 변경점을 중점적으로 리뷰함
'5. 절 Impact on the Software
RAM/ROM/Stack
Stack 내용 중
Proto(NQ5 PE) 제품을 검토해 봤을 때 70% Stack용량을 확보하면 추가 개발을 고려하여도 충분하다고 판단함.
(고객 Req : 70% 미만, SL Req 50% : 과거차 기준 15%
만족으로 충분한 여유가 있음. 아키텍처 설계에서도 컴포넌트별 용량을 제한하지 않아도 되는 수준으로 검토됨 내용 추가
EEPROM/Flash 내용 변경
EEPROM : 4KB
Code-flash : 2112 KB
Work-flash : 128 KB
MCU Performance 내용 변경
160MHz(Clock) M4F CPU
32 bit single Core
20ms(MCU Reset Time)
Software Platform 내용 추가
오토에버 사의 AUTOSAR Mobilgene Classic 2 (R440)</t>
    <phoneticPr fontId="1" type="noConversion"/>
  </si>
  <si>
    <t>소프트웨어 요구사항 개발 후 각 요구사항이 'Idenfity Software Operating Environment'절에서 적절히 정의한 환경 특징에 부합되는지 빠짐없이 검토하였고 문제 없는 것을 확인함
하기 변경점을 중점적으로 리뷰함
A-1) EEPROM Size에 SW 요구사항이 부합함.
(NQ5 PE) 제품을 검토해 봤을 때 4KB 중 300Byte를 사용하고 있어 추가 개발을 고려하여도 고객요구사항인 90%이하에 만족할 것으로 판단함 (약7.3% 수준의 메모리 사용)
CRC 적용과 메모리 이중화 요구사항이 존재하는데 지원하는 EEPROM에 적용됨.
A-2) Flash Memory Size에 SW 요구사항이 부합함.
(NQ5 PE) 제품을 검토해 봤을 때 flash Memory Size 2112 KB에서 700KB를 사용하고 있어 추가 개발을 고려하여도 요구사항인 70%이하에 만족할 것으로 판단함(약 30% 수준의 Flash Memory Size사용) 내용 수정
MCU Performance
A. MCU Reset Time은 20ms로 식별되었으며, 이는 시스템의 초기화 완료 요구사항을 만족할 수 있는 수준이다. 또한 160Mhz, 32 bit Single Core 구조는 현재 식별된 기능 및 Task 처리 요구를 수행하기에 충분한 성능을 제공하며, 
Proto(NQ5 PE)제품을 검토해봤을 때 동일 모델로 확보하면 CPU Load 및 Task 여유가 확인되므로, 식별된 MCU Performance에 SW 요구사항이 부합한다. 내용 추가
Software Platform 질문 내용 추가 및
A-1) 오토에버 사의 AUTOSAR Mobilgene Classic 2 (R440)를 선정하였음.
A-2) 플랫폼에서 설정 지원하는 기능으로 요구사항 만족함.
A-3) 플랫폼에서 설정을 지원하는 인터페이스 및 Communication Type으로 요구사항이 적용 가능함. 내용 추가</t>
    <phoneticPr fontId="1" type="noConversion"/>
  </si>
  <si>
    <t>각 Functional Requirements의 Contents는 빠짐없이 정의 되어 있고, 요구사항 작성에 필요한 속성을 모두 만족하는 것을 확인함
Unambiguous, Atomic, Comprehensible, Complete, Atomic, Verifiable
하기 변경점에 대하여 리뷰함
SwR_FR_089 - Internal Fault 조건 내 BTB Switch 차단제어 항목 추가
 (BTB Switch 차단 제어 X)로 작성된 항목 삭제
SwR_FR_093 - Back to Back Switch Failure 복귀조건 변경에 따른 문구 추가
(1초동안은 BTB ON 유지
필터링 타임 500ms동안 DCDC 컨버터 출력단 전압과 배터리 팩 전압 차가 1V 이하 시 clear)</t>
    <phoneticPr fontId="1" type="noConversion"/>
  </si>
  <si>
    <t>각 Functional Requirement은 요구사항은 논리적 오류나 모순이 없고, 명확하게 작성되어 있는 것을 확인함
하기 변경점에 대하여 리뷰함
SwR_FR_089 - Internal Fault 조건 내 BTB Switch 차단제어 항목 추가
 (BTB Switch 차단 제어 X)로 작성된 항목 삭제
SwR_FR_093 - Back to Back Switch Failure 복귀조건 변경에 따른 문구 추가
(1초동안은 BTB ON 유지
필터링 타임 500ms동안 DCDC 컨버터 출력단 전압과 배터리 팩 전압 차가 1V 이하 시 clear)</t>
    <phoneticPr fontId="1" type="noConversion"/>
  </si>
  <si>
    <t>각 요구사항의 Verification Method (Test or Review)에 대한 관련 검증 담당자의 검토 결과는 문제 없는 것을 확인함
하기 변경점에 대하여 리뷰함
SwR_FR_089 - Internal Fault 조건 내 BTB Switch 차단제어 항목 추가
 (BTB Switch 차단 제어 X)로 작성된 항목 삭제
SwR_FR_093 - Back to Back Switch Failure 복귀조건 변경에 따른 문구 추가
(1초동안은 BTB ON 유지
필터링 타임 500ms동안 DCDC 컨버터 출력단 전압과 배터리 팩 전압 차가 1V 이하 시 clear)</t>
    <phoneticPr fontId="1" type="noConversion"/>
  </si>
  <si>
    <t>State Requirements</t>
  </si>
  <si>
    <t>Normal Mode</t>
  </si>
  <si>
    <t>NQ5 PE PLBM의 캐리오버이므로 충분히 구현 가능하다.</t>
    <phoneticPr fontId="1" type="noConversion"/>
  </si>
  <si>
    <t>Sleep Mode</t>
  </si>
  <si>
    <t>Active Mode</t>
  </si>
  <si>
    <t>Transition Requirements</t>
  </si>
  <si>
    <t>Transition 1</t>
  </si>
  <si>
    <t>Transition 2</t>
  </si>
  <si>
    <t>Transition 3</t>
  </si>
  <si>
    <t>Transition 4</t>
  </si>
  <si>
    <t>Transition 5</t>
  </si>
  <si>
    <t>Transition 7</t>
  </si>
  <si>
    <t>Safe State Requirements</t>
  </si>
  <si>
    <t>충/방전 금지(LBM 내부 온도 모니터링 유지)</t>
  </si>
  <si>
    <t>End-User Fail Warning Alert</t>
  </si>
  <si>
    <t>Safe Transition Requirements</t>
  </si>
  <si>
    <t>Transition 6</t>
  </si>
  <si>
    <t>Transition 8</t>
  </si>
  <si>
    <t>Transition 9</t>
  </si>
  <si>
    <t>Interface Requirements</t>
    <phoneticPr fontId="1" type="noConversion"/>
  </si>
  <si>
    <t>B+_POWER_Moni</t>
  </si>
  <si>
    <t>IGN2_Moni</t>
  </si>
  <si>
    <t>DCDC_Control(ADC)</t>
  </si>
  <si>
    <t>DCDC_Control(GPIO)</t>
  </si>
  <si>
    <t>DCDC_Control(PWM)</t>
  </si>
  <si>
    <t>BTB_OnOff</t>
  </si>
  <si>
    <t>BTB_Volt</t>
  </si>
  <si>
    <t>Cell_Volt_Info</t>
  </si>
  <si>
    <t>Cell_Temp_Info</t>
  </si>
  <si>
    <t>Sum_Cur_Info</t>
  </si>
  <si>
    <t>CAN_Info_Rx</t>
  </si>
  <si>
    <t>CAN_Info_Tx</t>
  </si>
  <si>
    <t>LIN_Info_Rx</t>
  </si>
  <si>
    <t>LIN_Info_Tx</t>
  </si>
  <si>
    <t>Cell_Bal_Sts</t>
  </si>
  <si>
    <t>Cell_Bal_En</t>
  </si>
  <si>
    <t>IPS_Cur_Info</t>
  </si>
  <si>
    <t>ACU_IPS_Control</t>
  </si>
  <si>
    <t>BLTN_IPS_Control</t>
  </si>
  <si>
    <t>Ah_Info</t>
  </si>
  <si>
    <t>BMS_CERTI_Info</t>
  </si>
  <si>
    <t>DCDC_Temp</t>
  </si>
  <si>
    <t>MCU_WK</t>
  </si>
  <si>
    <t>SWB_WD</t>
  </si>
  <si>
    <t>BAT_POWER_Moni</t>
  </si>
  <si>
    <t>CLU_IPS_Control</t>
  </si>
  <si>
    <t>BMS_IPS_Control</t>
  </si>
  <si>
    <t>DOOR_IPS_Control</t>
  </si>
  <si>
    <t>SBCM_IPS_Control</t>
  </si>
  <si>
    <t>LBM_State</t>
  </si>
  <si>
    <t>Crash_PWM_Moni</t>
  </si>
  <si>
    <t>신규 인터페이스에 대해 현재 MCU 기준의 HSI로 충분히 구현 가능하다.</t>
    <phoneticPr fontId="1" type="noConversion"/>
  </si>
  <si>
    <t>SBC_SW_Reset</t>
  </si>
  <si>
    <t>Reset_Info</t>
  </si>
  <si>
    <t>Functional Requirements</t>
    <phoneticPr fontId="1" type="noConversion"/>
  </si>
  <si>
    <t>충전 제어</t>
  </si>
  <si>
    <t>추가된 신규 기능에 대해 현재 아키텍처 및 상세 설계 구조에서 변경하여 구현 가능하다.</t>
    <phoneticPr fontId="1" type="noConversion"/>
  </si>
  <si>
    <t>충전 진입 조건 (30Ah)</t>
  </si>
  <si>
    <t>NQ5 PE PLBM의 캐리오버이므로 해당 기능의 요구사항들은 충분히 구현 가능하다.</t>
    <phoneticPr fontId="1" type="noConversion"/>
  </si>
  <si>
    <t>충전 진입 조건 (주행 중 20Ah 빌트인캠 미적용)</t>
  </si>
  <si>
    <t>충전 진입 조건 (주차 중 20Ah 빌트인캠 미적용)</t>
  </si>
  <si>
    <t>충전 진입 조건 (주행 중20Ah BLTN ONLY 사양)</t>
  </si>
  <si>
    <t>충전 진입 조건 (주차 중20Ah BLTN ONLY 사양)</t>
  </si>
  <si>
    <t>충전 금지 조건 (30Ah)</t>
  </si>
  <si>
    <t>충전 금지 조건 (주행 중 20Ah 빌트인캠 미적용)</t>
  </si>
  <si>
    <t>충전 금지 조건 (주차 중 20Ah 빌트인캠 미적용)</t>
  </si>
  <si>
    <t>충전 금지 조건 (주행 중 20Ah BLTN ONLY)(삭제)</t>
  </si>
  <si>
    <t>충전 금지 조건 (주차 중 20Ah BLTN ONLY)</t>
  </si>
  <si>
    <t>충전 제어 시퀀스 (30Ah)</t>
  </si>
  <si>
    <t>충전 제어 시퀀스 (20Ah)</t>
  </si>
  <si>
    <t>충전 제어 시퀀스 (15s 대기)</t>
  </si>
  <si>
    <t>충전 종료 조건(완충 상태)</t>
  </si>
  <si>
    <t>충전 금지 조건 (30Ah, 빌트인캠 미적용)</t>
  </si>
  <si>
    <t>충전 재개 조건 (20Ah, 30Ah 빌트인캠 적용사양)</t>
  </si>
  <si>
    <t>충전 재개 조건 (30Ah, 빌트인캠 미적용 사양 )</t>
  </si>
  <si>
    <t>충전 제한 조건 (20Ah, 에코 로직)</t>
  </si>
  <si>
    <t>충전 전류 제한(저전압 fault)</t>
  </si>
  <si>
    <t>충전 전류 제한(과전압 fault)</t>
  </si>
  <si>
    <t>충전 보호 조건 (보호기능)</t>
  </si>
  <si>
    <t>SOC 및 Available Capacity 업데이트 (CAN)</t>
  </si>
  <si>
    <t>SOC 및 Available Capacity 업데이트 (LIN)</t>
  </si>
  <si>
    <t>프리차징 제어 (충전전류 table 제어)</t>
  </si>
  <si>
    <t>프리차징 종료 (정상 충전)</t>
  </si>
  <si>
    <t>프리차징 제어 (충전 중단)</t>
  </si>
  <si>
    <t>프리차징 제어 (정상 미복귀)</t>
  </si>
  <si>
    <t>프리차징 종료</t>
  </si>
  <si>
    <t>방전 제어</t>
  </si>
  <si>
    <t>방전 진입 조건 / 30Ah 사양 및 20Ah 사양(BLTN 미적용 사양)</t>
  </si>
  <si>
    <t>방전 중지 조건 (30Ah)</t>
  </si>
  <si>
    <t>방전 중지 조건 (20Ah BLTN 미적용)</t>
  </si>
  <si>
    <t>방전 중지 조건(전사양)</t>
  </si>
  <si>
    <t>방전 후 충전</t>
  </si>
  <si>
    <t>방전 제어 시퀀스</t>
  </si>
  <si>
    <t>방전 제어 시퀀스(타이밍)</t>
  </si>
  <si>
    <t>방전 제어 사양(1A 미만)</t>
  </si>
  <si>
    <t>방전 제어 사양 (보호 기능)</t>
  </si>
  <si>
    <t>30Ah 방전 허용량(Available Power) 계산</t>
  </si>
  <si>
    <t>30Ah 방전 허용량(Available Power) 계산 (빌트인캠 미적용)</t>
  </si>
  <si>
    <t>20Ah 방전 허용량(Available Power) 계산 (빌트인캠 Only)</t>
  </si>
  <si>
    <t>20Ah 방전 허용량(Available Power) 계산 (OTA Only)</t>
  </si>
  <si>
    <t>빌트인캠 방전 제어</t>
  </si>
  <si>
    <t>빌트인캠 방전 제어 조건</t>
  </si>
  <si>
    <t>빌트인캠 방전 중지 조건 / 30Ah 사양 및 20Ah 사양(BLTN Only 사양)</t>
  </si>
  <si>
    <t>빌트인캠 방전 제어 사양 (Available Power)</t>
  </si>
  <si>
    <t>빌트인캠 방전 시간 모니터링</t>
  </si>
  <si>
    <t>빌트인캠 방전 30분 마진</t>
  </si>
  <si>
    <t>빌트인캠 방전 종료 후 충전</t>
  </si>
  <si>
    <t>빌트인캠 방전 보호 기능</t>
  </si>
  <si>
    <t>빌트인캠 방전 중지 조건(20Ah &amp; BLTN ONLY 사양)</t>
  </si>
  <si>
    <t>ACU 방전 제어</t>
  </si>
  <si>
    <t>ACU 방전 제어 조건 (상시)</t>
  </si>
  <si>
    <t>ACU방전 중지 조건</t>
  </si>
  <si>
    <t>ACU방전 전류 조건 (3A 미만)</t>
  </si>
  <si>
    <t>ACU방전 금지 후 충전 동작</t>
  </si>
  <si>
    <t>ACU방전 보호 기능</t>
  </si>
  <si>
    <t>CLU, BMS,DOOR,SBCM 방전 제어</t>
  </si>
  <si>
    <t>방전 진입 조건</t>
  </si>
  <si>
    <t>방전 해제 조건</t>
  </si>
  <si>
    <t>충돌 신호 조건</t>
  </si>
  <si>
    <t>방전 금지 조건 (10V 미만 또는 SOC 0%)</t>
  </si>
  <si>
    <t>BMS 인증</t>
  </si>
  <si>
    <t>BMS 인증 조건</t>
  </si>
  <si>
    <t>빌트인캠 적용 조건</t>
  </si>
  <si>
    <t>빌트인캠 상태 저장</t>
  </si>
  <si>
    <t>제품 인증 시점까지 상태 유지</t>
  </si>
  <si>
    <t>제품 인증 시점</t>
  </si>
  <si>
    <t>제품 인증 해제</t>
  </si>
  <si>
    <t>빌트인캠 강제 해제</t>
  </si>
  <si>
    <t>빌트인캠 충방전 테이블</t>
  </si>
  <si>
    <t>배터리 상태 추정</t>
  </si>
  <si>
    <t>배터리 상태 추정 SOC</t>
  </si>
  <si>
    <t>배터리 SOC 오차 보정</t>
  </si>
  <si>
    <t>배터리 SOC 강제 보정</t>
  </si>
  <si>
    <t>배터리 상태 추정 SOH</t>
  </si>
  <si>
    <t>방전 이력 저장</t>
  </si>
  <si>
    <t>배터리 팩 BLTN 및 ACU 방전 과전류 보호</t>
  </si>
  <si>
    <t>배터리 과방전 보호</t>
  </si>
  <si>
    <t>배터리 팩 과방전 보호</t>
  </si>
  <si>
    <t>배터리 셀 과방전 보호</t>
  </si>
  <si>
    <t>배터리 셀 저온 보호</t>
  </si>
  <si>
    <t>배터리 셀 저온 보호 (충전)</t>
  </si>
  <si>
    <t>배터리 셀 저온 보호 (방전)</t>
  </si>
  <si>
    <t>배터리 셀 저온 보호 (BLTN &amp; ACU)</t>
  </si>
  <si>
    <t>BMS 회로 보호</t>
  </si>
  <si>
    <t>BMS Internal Failure</t>
  </si>
  <si>
    <t>Permanent Failure</t>
  </si>
  <si>
    <t>DC/DC 컨버터 Short Failure</t>
  </si>
  <si>
    <t>Back to Back Switch Failure</t>
  </si>
  <si>
    <t>로그 저장 기능</t>
  </si>
  <si>
    <t>SW Reset</t>
  </si>
  <si>
    <t>sw reset 제어 조건</t>
  </si>
  <si>
    <t>sw reset 수행 (sleep)</t>
  </si>
  <si>
    <t>sw 리셋 제어 사양 (프리워닝)</t>
  </si>
  <si>
    <t>sw 리셋 제어 사양 (fail safe)</t>
  </si>
  <si>
    <t>sw 리셋 제어 사양 (무시)</t>
  </si>
  <si>
    <t>sw 리셋 제어 사양 (올드밸류)</t>
  </si>
  <si>
    <t>sw 리셋 제어 사양 (ready sleep 모드)</t>
  </si>
  <si>
    <t>sw 리셋 제어 사양 (송신 전 취소)</t>
  </si>
  <si>
    <t>배터리 팩 DOOR, SBCM 방전 과전류 보호</t>
  </si>
  <si>
    <t>NON-Functional Requirements</t>
    <phoneticPr fontId="1" type="noConversion"/>
  </si>
  <si>
    <t>Design Requirements</t>
  </si>
  <si>
    <t>NQ5 PE PLBM의 캐리오버이므로 해당 비기능의 요구사항에 따라 충분히 구현 가능하다.</t>
    <phoneticPr fontId="1" type="noConversion"/>
  </si>
  <si>
    <t>Environmental and Reliability Requirements</t>
  </si>
  <si>
    <t>Regulation Requirements</t>
  </si>
  <si>
    <t>Physical Requirements</t>
  </si>
  <si>
    <t>Performance Requirements</t>
  </si>
  <si>
    <t>Diagnostic Requirements</t>
  </si>
  <si>
    <t>ES Spec Requirements</t>
  </si>
  <si>
    <t>Safety Functional Requirements</t>
    <phoneticPr fontId="1" type="noConversion"/>
  </si>
  <si>
    <t>B+ 전원 이상 감지</t>
  </si>
  <si>
    <t>NQ5 PE PLBM의 캐리오버이므로 해당 안전 기능의 요구사항들은 충분히 구현 가능하다.</t>
    <phoneticPr fontId="1" type="noConversion"/>
  </si>
  <si>
    <t>Internal 전원 이상 감지</t>
  </si>
  <si>
    <t>전압, 전류, 온도 센서 고장 감지</t>
  </si>
  <si>
    <t>전압 센서 고장 감지</t>
  </si>
  <si>
    <t>전류 센서 고장 감지</t>
  </si>
  <si>
    <t>온도 센서 고장 감지</t>
  </si>
  <si>
    <t>SPI Fault Monitoring</t>
  </si>
  <si>
    <t>배터리 팩 과전류 보호</t>
  </si>
  <si>
    <t>Cell Balancing 제어</t>
  </si>
  <si>
    <t>PLBM 내부 과온 이상 감지</t>
  </si>
  <si>
    <t>배터리 과전압 고장 감지</t>
  </si>
  <si>
    <t>배터리 셀 과전압 고장 감지</t>
  </si>
  <si>
    <t>CAN 송수신 회로 고장 감지</t>
  </si>
  <si>
    <t>CAN Timeout 고장</t>
  </si>
  <si>
    <t>프로세스 Unit 고장 감지</t>
  </si>
  <si>
    <t>잘못된 업데이트 방지</t>
  </si>
  <si>
    <t>S/W고장 감지</t>
  </si>
  <si>
    <t>Back to Back 차단 제어</t>
  </si>
  <si>
    <t>배터리 팩 Cluster, BMS, SBCM 방전 과전류 보호</t>
  </si>
  <si>
    <t>배터리 팩 Door 방전 과전류 보호</t>
    <phoneticPr fontId="1" type="noConversion"/>
  </si>
  <si>
    <t>Non-Functional Safety Requirements</t>
    <phoneticPr fontId="1" type="noConversion"/>
  </si>
  <si>
    <t>"Technical Feasibility" Sheet 분석 내용 참고</t>
    <phoneticPr fontId="1" type="noConversion"/>
  </si>
  <si>
    <t>NQ5 PE PLBM의 캐리오버이므로 해당 안전 비기능의 안전 요구사항들에 따라 충분히 구현 가능하다.</t>
    <phoneticPr fontId="1" type="noConversion"/>
  </si>
  <si>
    <t>Traceability Report(추적성) 기반으로 모든 요구사항에 대해서 상위 요구사항과의 양방향 추적성을 확보한 것을 확인함.
하기 변경점에 대하여 리뷰함
SwR_FR_093의 Related ID에 SDS_ER_370, SDS_ER_207 추가</t>
    <phoneticPr fontId="1" type="noConversion"/>
  </si>
  <si>
    <t>2026.04.09 (14:00~14:30)</t>
    <phoneticPr fontId="1" type="noConversion"/>
  </si>
  <si>
    <t>\</t>
    <phoneticPr fontId="1" type="noConversion"/>
  </si>
  <si>
    <t>의견</t>
    <phoneticPr fontId="1" type="noConversion"/>
  </si>
  <si>
    <t>가능 여부</t>
    <phoneticPr fontId="1" type="noConversion"/>
  </si>
  <si>
    <t>X</t>
    <phoneticPr fontId="1" type="noConversion"/>
  </si>
  <si>
    <t>Dev Plan을 import 후 진행하는 것으로 어려움</t>
    <phoneticPr fontId="1" type="noConversion"/>
  </si>
  <si>
    <t>O</t>
    <phoneticPr fontId="1" type="noConversion"/>
  </si>
  <si>
    <t>AI가 충분히 문서에 대한 목적과 정의를 작성할 수 있음</t>
    <phoneticPr fontId="1" type="noConversion"/>
  </si>
  <si>
    <t>문서의 작성된 약어를 명기할 수 있음</t>
    <phoneticPr fontId="1" type="noConversion"/>
  </si>
  <si>
    <t>x</t>
    <phoneticPr fontId="1" type="noConversion"/>
  </si>
  <si>
    <t>최신자 문서를 import해야함.</t>
    <phoneticPr fontId="1" type="noConversion"/>
  </si>
  <si>
    <t>일치성 확인은 가능</t>
    <phoneticPr fontId="1" type="noConversion"/>
  </si>
  <si>
    <t>누락여부 정도는 확인 가능</t>
    <phoneticPr fontId="1" type="noConversion"/>
  </si>
  <si>
    <t>정의도 작성가능으로 보입니다</t>
    <phoneticPr fontId="1" type="noConversion"/>
  </si>
  <si>
    <t xml:space="preserve">Function Risk Analysis를 수행하고 그대로 가지고 오는 것이기 때문에 AI가 작성할 이유는 없어 보입니다. Analysis는 설계자의 의견이 반영되어야 합니다. </t>
    <phoneticPr fontId="1" type="noConversion"/>
  </si>
  <si>
    <t xml:space="preserve">의견이 아닌 상속, 추적성 부분은 AI가 검토하는 것이 가능하고 효율적일 것 같습니다. </t>
    <phoneticPr fontId="1" type="noConversion"/>
  </si>
  <si>
    <t xml:space="preserve">상태천이도는 설계자 의견이 반영 되어야 합니다.
Safety Mode라던지 AI가 선 작업 후 수정하는 것도 방법 중 하나인 것 같습니다. </t>
    <phoneticPr fontId="1" type="noConversion"/>
  </si>
  <si>
    <t>△</t>
    <phoneticPr fontId="1" type="noConversion"/>
  </si>
  <si>
    <t xml:space="preserve">AI에 검토할 때 요구사항을 적확하게 명기 후 검토 요청을 하면 좋을 것 같습니다. </t>
    <phoneticPr fontId="1" type="noConversion"/>
  </si>
  <si>
    <t>추적성은 AI 검토 가능</t>
    <phoneticPr fontId="1" type="noConversion"/>
  </si>
  <si>
    <t>일관성 여부는 얼마나 일치하는지는 확인이 가능할 것 같습니다.</t>
    <phoneticPr fontId="1" type="noConversion"/>
  </si>
  <si>
    <t>설계자의 의견이 필요한 부분인 것 같습니다.</t>
    <phoneticPr fontId="1" type="noConversion"/>
  </si>
  <si>
    <t>검증 담당자의 의견이 필요할 것 같습니다. 해당 부분은 리뷰를 통해서 검증 담당자가 확인 가능하다고 하면 PASS되는 항목 입니다.</t>
    <phoneticPr fontId="1" type="noConversion"/>
  </si>
  <si>
    <t xml:space="preserve">사실 해당 부분이 AI가 직접 작성해주면 공수를 많이 줄일 수 있는 부분인 것 같습니다. 하지만 선 AI작성 후 설계자가 수정하는 것 또한 시간을 많이 줄 일 수 있다고 생각합니다. </t>
    <phoneticPr fontId="1" type="noConversion"/>
  </si>
  <si>
    <t xml:space="preserve">이 부분도 AI가 직접 작성해주면 공수를 많이 줄일 수 있는 부분인 것 같습니다. 하지만 선 AI작성 후 설계자가 수정하는 것 또한 시간을 많이 줄 일 수 있다고 생각합니다. </t>
    <phoneticPr fontId="1" type="noConversion"/>
  </si>
  <si>
    <t xml:space="preserve">추적성과 판단 근거가 아닌 FHTI, Fault 정보는 AI가 충분히 작성 가능하다고 생각합니다. </t>
    <phoneticPr fontId="1" type="noConversion"/>
  </si>
  <si>
    <t>추적성 관련은 AI 작성 가능</t>
    <phoneticPr fontId="1" type="noConversion"/>
  </si>
  <si>
    <t xml:space="preserve">설계자의 의견이 필요한 부분인 것 같습니다.
하지만 Correctness에 모두 YES가 되는 것을 확인 하는 것은 AI가 확인 가능 할 것 같습니다. </t>
    <phoneticPr fontId="1" type="noConversion"/>
  </si>
  <si>
    <t xml:space="preserve">설계자 의견이 필요합니다. </t>
    <phoneticPr fontId="1" type="noConversion"/>
  </si>
  <si>
    <t xml:space="preserve">다른 항목은 잘 모르겠습니다. 하지만 Non-Functinal Requirement는 해당 부분이 가능하다고 생각합니다. 이유는 시스템에서 명기하고 있는 내용이 비슷하게 SW 요구사항에 적히기 때문입니다. </t>
    <phoneticPr fontId="1" type="noConversion"/>
  </si>
  <si>
    <t xml:space="preserve">Non-Functional Safety Requirements 해당 부분이 가능하다고 생각합니다. </t>
    <phoneticPr fontId="1" type="noConversion"/>
  </si>
  <si>
    <t xml:space="preserve">MCU, EEPROM, Stack에 대한 정보만 있으면 가능하다고 생각합니다.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</si>
</sst>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"/>
    <numFmt numFmtId="177" formatCode="0.0%"/>
    <numFmt numFmtId="178" formatCode="0.0_);[Red]\(0.0\)"/>
  </numFmts>
  <fonts count="4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8"/>
      <color theme="4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rgb="FF7030A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8"/>
      <color indexed="81"/>
      <name val="맑은고딕"/>
      <family val="3"/>
      <charset val="129"/>
    </font>
    <font>
      <b/>
      <sz val="8"/>
      <color indexed="8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i/>
      <sz val="11"/>
      <color rgb="FF00B05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i/>
      <sz val="11"/>
      <color rgb="FF00B05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i/>
      <sz val="1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theme="0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theme="0"/>
      </top>
      <bottom style="thin">
        <color theme="0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0"/>
      </bottom>
      <diagonal/>
    </border>
    <border>
      <left style="thin">
        <color theme="0"/>
      </left>
      <right style="thin">
        <color theme="0"/>
      </right>
      <top style="dotted">
        <color theme="0"/>
      </top>
      <bottom style="dotted">
        <color theme="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theme="0"/>
      </left>
      <right style="dotted">
        <color indexed="64"/>
      </right>
      <top style="dotted">
        <color indexed="64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theme="0"/>
      </left>
      <right style="dotted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/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7" fillId="0" borderId="0"/>
  </cellStyleXfs>
  <cellXfs count="2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7" fillId="3" borderId="0" xfId="2" applyFill="1"/>
    <xf numFmtId="0" fontId="7" fillId="0" borderId="0" xfId="2"/>
    <xf numFmtId="0" fontId="8" fillId="3" borderId="0" xfId="2" applyFont="1" applyFill="1" applyAlignment="1">
      <alignment horizontal="left" vertical="center"/>
    </xf>
    <xf numFmtId="0" fontId="7" fillId="0" borderId="0" xfId="2" applyAlignment="1">
      <alignment horizontal="left" vertical="center"/>
    </xf>
    <xf numFmtId="0" fontId="9" fillId="3" borderId="0" xfId="2" applyFont="1" applyFill="1" applyAlignment="1">
      <alignment horizontal="left" vertical="center"/>
    </xf>
    <xf numFmtId="0" fontId="8" fillId="3" borderId="0" xfId="2" applyFont="1" applyFill="1" applyAlignment="1">
      <alignment horizontal="center" vertical="center"/>
    </xf>
    <xf numFmtId="0" fontId="8" fillId="3" borderId="0" xfId="2" applyFont="1" applyFill="1"/>
    <xf numFmtId="0" fontId="8" fillId="3" borderId="0" xfId="2" applyFont="1" applyFill="1" applyAlignment="1">
      <alignment horizontal="center"/>
    </xf>
    <xf numFmtId="0" fontId="0" fillId="0" borderId="0" xfId="0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0" fillId="0" borderId="7" xfId="0" applyBorder="1">
      <alignment vertical="center"/>
    </xf>
    <xf numFmtId="0" fontId="23" fillId="0" borderId="0" xfId="0" applyFont="1">
      <alignment vertical="center"/>
    </xf>
    <xf numFmtId="0" fontId="25" fillId="6" borderId="1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7" fillId="0" borderId="0" xfId="0" quotePrefix="1" applyFont="1">
      <alignment vertical="center"/>
    </xf>
    <xf numFmtId="0" fontId="0" fillId="0" borderId="0" xfId="0" quotePrefix="1">
      <alignment vertical="center"/>
    </xf>
    <xf numFmtId="0" fontId="29" fillId="0" borderId="0" xfId="0" quotePrefix="1" applyFont="1" applyAlignment="1">
      <alignment horizontal="left" vertical="center"/>
    </xf>
    <xf numFmtId="0" fontId="29" fillId="0" borderId="0" xfId="0" applyFont="1">
      <alignment vertical="center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12" fillId="2" borderId="2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3" fillId="2" borderId="34" xfId="0" applyFont="1" applyFill="1" applyBorder="1" applyAlignment="1">
      <alignment horizontal="center" vertical="center"/>
    </xf>
    <xf numFmtId="0" fontId="7" fillId="3" borderId="0" xfId="2" applyFill="1" applyAlignment="1">
      <alignment horizontal="left" vertical="center"/>
    </xf>
    <xf numFmtId="0" fontId="11" fillId="3" borderId="0" xfId="6" applyFont="1" applyFill="1"/>
    <xf numFmtId="0" fontId="8" fillId="3" borderId="0" xfId="6" applyFont="1" applyFill="1"/>
    <xf numFmtId="0" fontId="9" fillId="4" borderId="9" xfId="6" applyFont="1" applyFill="1" applyBorder="1" applyAlignment="1">
      <alignment horizontal="center"/>
    </xf>
    <xf numFmtId="0" fontId="8" fillId="4" borderId="0" xfId="2" applyFont="1" applyFill="1" applyAlignment="1">
      <alignment horizontal="center" vertical="center"/>
    </xf>
    <xf numFmtId="0" fontId="33" fillId="2" borderId="35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3" fillId="2" borderId="5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quotePrefix="1" applyFill="1">
      <alignment vertical="center"/>
    </xf>
    <xf numFmtId="0" fontId="0" fillId="3" borderId="0" xfId="0" applyFill="1">
      <alignment vertical="center"/>
    </xf>
    <xf numFmtId="0" fontId="30" fillId="3" borderId="0" xfId="0" quotePrefix="1" applyFont="1" applyFill="1">
      <alignment vertical="center"/>
    </xf>
    <xf numFmtId="0" fontId="15" fillId="3" borderId="0" xfId="0" applyFont="1" applyFill="1">
      <alignment vertical="center"/>
    </xf>
    <xf numFmtId="0" fontId="22" fillId="3" borderId="0" xfId="0" applyFont="1" applyFill="1">
      <alignment vertical="center"/>
    </xf>
    <xf numFmtId="0" fontId="17" fillId="3" borderId="0" xfId="0" applyFont="1" applyFill="1">
      <alignment vertical="center"/>
    </xf>
    <xf numFmtId="0" fontId="23" fillId="3" borderId="0" xfId="0" applyFont="1" applyFill="1">
      <alignment vertical="center"/>
    </xf>
    <xf numFmtId="0" fontId="17" fillId="3" borderId="0" xfId="0" quotePrefix="1" applyFont="1" applyFill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2" fillId="2" borderId="59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6" fillId="0" borderId="6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49" xfId="0" applyFont="1" applyBorder="1" applyAlignment="1">
      <alignment horizontal="left" vertical="center" wrapText="1"/>
    </xf>
    <xf numFmtId="14" fontId="8" fillId="0" borderId="1" xfId="2" applyNumberFormat="1" applyFont="1" applyBorder="1" applyAlignment="1">
      <alignment horizontal="center" vertical="center"/>
    </xf>
    <xf numFmtId="14" fontId="8" fillId="0" borderId="1" xfId="6" applyNumberFormat="1" applyFont="1" applyBorder="1" applyAlignment="1">
      <alignment horizontal="center" vertical="center"/>
    </xf>
    <xf numFmtId="0" fontId="9" fillId="4" borderId="10" xfId="6" applyFont="1" applyFill="1" applyBorder="1" applyAlignment="1">
      <alignment horizontal="center"/>
    </xf>
    <xf numFmtId="0" fontId="40" fillId="3" borderId="0" xfId="9" applyFont="1" applyFill="1" applyAlignment="1">
      <alignment horizontal="left" vertical="center"/>
    </xf>
    <xf numFmtId="0" fontId="40" fillId="3" borderId="0" xfId="6" applyFont="1" applyFill="1" applyAlignment="1">
      <alignment horizontal="left" vertical="center"/>
    </xf>
    <xf numFmtId="0" fontId="8" fillId="0" borderId="1" xfId="6" applyFont="1" applyBorder="1" applyAlignment="1">
      <alignment horizontal="center" vertical="center"/>
    </xf>
    <xf numFmtId="178" fontId="8" fillId="0" borderId="11" xfId="2" applyNumberFormat="1" applyFont="1" applyBorder="1" applyAlignment="1">
      <alignment horizontal="center" vertical="center"/>
    </xf>
    <xf numFmtId="178" fontId="8" fillId="0" borderId="11" xfId="6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78" fontId="8" fillId="0" borderId="67" xfId="6" applyNumberFormat="1" applyFont="1" applyBorder="1" applyAlignment="1">
      <alignment horizontal="center" vertical="center"/>
    </xf>
    <xf numFmtId="0" fontId="8" fillId="0" borderId="60" xfId="6" applyFont="1" applyBorder="1" applyAlignment="1">
      <alignment horizontal="center" vertical="center"/>
    </xf>
    <xf numFmtId="178" fontId="8" fillId="0" borderId="66" xfId="6" applyNumberFormat="1" applyFont="1" applyBorder="1" applyAlignment="1">
      <alignment horizontal="center" vertical="center"/>
    </xf>
    <xf numFmtId="0" fontId="8" fillId="0" borderId="68" xfId="6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176" fontId="34" fillId="0" borderId="20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9" fillId="6" borderId="1" xfId="0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4" fontId="34" fillId="7" borderId="1" xfId="0" applyNumberFormat="1" applyFont="1" applyFill="1" applyBorder="1" applyAlignment="1">
      <alignment horizontal="center" vertical="center" wrapText="1"/>
    </xf>
    <xf numFmtId="0" fontId="45" fillId="0" borderId="0" xfId="0" quotePrefix="1" applyFont="1" applyAlignment="1">
      <alignment horizontal="left" vertical="top" wrapText="1"/>
    </xf>
    <xf numFmtId="0" fontId="1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3" fillId="0" borderId="0" xfId="0" applyFont="1">
      <alignment vertical="center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center" wrapText="1"/>
    </xf>
    <xf numFmtId="0" fontId="34" fillId="0" borderId="4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34" fillId="3" borderId="2" xfId="0" applyFont="1" applyFill="1" applyBorder="1" applyAlignment="1">
      <alignment horizontal="left" vertical="top" wrapText="1"/>
    </xf>
    <xf numFmtId="0" fontId="34" fillId="3" borderId="4" xfId="0" applyFont="1" applyFill="1" applyBorder="1" applyAlignment="1">
      <alignment horizontal="left" vertical="top" wrapText="1"/>
    </xf>
    <xf numFmtId="0" fontId="34" fillId="3" borderId="3" xfId="0" applyFont="1" applyFill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39" fillId="3" borderId="4" xfId="0" applyFont="1" applyFill="1" applyBorder="1" applyAlignment="1">
      <alignment horizontal="left" vertical="top" wrapText="1"/>
    </xf>
    <xf numFmtId="0" fontId="39" fillId="3" borderId="3" xfId="0" applyFont="1" applyFill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/>
    </xf>
    <xf numFmtId="0" fontId="34" fillId="0" borderId="3" xfId="0" applyFont="1" applyBorder="1" applyAlignment="1">
      <alignment horizontal="left" vertical="top"/>
    </xf>
    <xf numFmtId="0" fontId="12" fillId="2" borderId="51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12" fillId="2" borderId="69" xfId="0" applyFont="1" applyFill="1" applyBorder="1" applyAlignment="1">
      <alignment horizontal="center" vertical="center"/>
    </xf>
    <xf numFmtId="0" fontId="12" fillId="2" borderId="70" xfId="0" applyFont="1" applyFill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 wrapText="1"/>
    </xf>
    <xf numFmtId="14" fontId="34" fillId="7" borderId="1" xfId="0" applyNumberFormat="1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5" fillId="0" borderId="1" xfId="0" quotePrefix="1" applyFont="1" applyBorder="1" applyAlignment="1">
      <alignment horizontal="left" vertical="top" wrapText="1"/>
    </xf>
    <xf numFmtId="0" fontId="33" fillId="2" borderId="57" xfId="0" applyFont="1" applyFill="1" applyBorder="1" applyAlignment="1">
      <alignment horizontal="center" vertical="center" wrapText="1"/>
    </xf>
    <xf numFmtId="0" fontId="33" fillId="2" borderId="40" xfId="0" applyFont="1" applyFill="1" applyBorder="1" applyAlignment="1">
      <alignment horizontal="center" vertical="center" wrapText="1"/>
    </xf>
    <xf numFmtId="0" fontId="33" fillId="2" borderId="41" xfId="0" applyFont="1" applyFill="1" applyBorder="1" applyAlignment="1">
      <alignment horizontal="center" vertical="center" wrapText="1"/>
    </xf>
    <xf numFmtId="14" fontId="34" fillId="0" borderId="44" xfId="0" applyNumberFormat="1" applyFont="1" applyBorder="1" applyAlignment="1">
      <alignment horizontal="center" vertical="center"/>
    </xf>
    <xf numFmtId="14" fontId="34" fillId="0" borderId="45" xfId="0" applyNumberFormat="1" applyFont="1" applyBorder="1" applyAlignment="1">
      <alignment horizontal="center" vertical="center"/>
    </xf>
    <xf numFmtId="14" fontId="34" fillId="0" borderId="25" xfId="0" applyNumberFormat="1" applyFont="1" applyBorder="1" applyAlignment="1">
      <alignment horizontal="center" vertical="center"/>
    </xf>
    <xf numFmtId="14" fontId="34" fillId="0" borderId="26" xfId="0" applyNumberFormat="1" applyFont="1" applyBorder="1" applyAlignment="1">
      <alignment horizontal="center" vertical="center"/>
    </xf>
    <xf numFmtId="0" fontId="33" fillId="2" borderId="56" xfId="0" applyFont="1" applyFill="1" applyBorder="1" applyAlignment="1">
      <alignment horizontal="center" vertical="center" wrapText="1"/>
    </xf>
    <xf numFmtId="0" fontId="33" fillId="2" borderId="29" xfId="0" applyFont="1" applyFill="1" applyBorder="1" applyAlignment="1">
      <alignment horizontal="center" vertical="center" wrapText="1"/>
    </xf>
    <xf numFmtId="0" fontId="33" fillId="2" borderId="32" xfId="0" applyFont="1" applyFill="1" applyBorder="1" applyAlignment="1">
      <alignment horizontal="center" vertical="center" wrapText="1"/>
    </xf>
    <xf numFmtId="14" fontId="34" fillId="0" borderId="50" xfId="0" applyNumberFormat="1" applyFont="1" applyBorder="1" applyAlignment="1">
      <alignment horizontal="center" vertical="center"/>
    </xf>
    <xf numFmtId="14" fontId="34" fillId="0" borderId="27" xfId="0" applyNumberFormat="1" applyFont="1" applyBorder="1" applyAlignment="1">
      <alignment horizontal="center" vertical="center"/>
    </xf>
    <xf numFmtId="14" fontId="34" fillId="0" borderId="28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/>
    </xf>
    <xf numFmtId="0" fontId="33" fillId="2" borderId="5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33" fillId="2" borderId="23" xfId="0" applyFont="1" applyFill="1" applyBorder="1" applyAlignment="1">
      <alignment horizontal="center" vertical="center" wrapText="1"/>
    </xf>
    <xf numFmtId="0" fontId="33" fillId="2" borderId="51" xfId="0" applyFont="1" applyFill="1" applyBorder="1" applyAlignment="1">
      <alignment horizontal="center" vertical="center"/>
    </xf>
    <xf numFmtId="0" fontId="33" fillId="2" borderId="52" xfId="0" applyFont="1" applyFill="1" applyBorder="1" applyAlignment="1">
      <alignment horizontal="center" vertical="center"/>
    </xf>
    <xf numFmtId="0" fontId="33" fillId="2" borderId="53" xfId="0" applyFont="1" applyFill="1" applyBorder="1" applyAlignment="1">
      <alignment horizontal="center" vertical="center"/>
    </xf>
    <xf numFmtId="0" fontId="33" fillId="2" borderId="54" xfId="0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14" fontId="34" fillId="0" borderId="44" xfId="0" applyNumberFormat="1" applyFont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7" fontId="13" fillId="5" borderId="46" xfId="1" applyNumberFormat="1" applyFont="1" applyFill="1" applyBorder="1" applyAlignment="1">
      <alignment horizontal="center" vertical="center"/>
    </xf>
    <xf numFmtId="177" fontId="13" fillId="5" borderId="47" xfId="1" applyNumberFormat="1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33" fillId="2" borderId="56" xfId="0" applyFont="1" applyFill="1" applyBorder="1" applyAlignment="1">
      <alignment horizontal="center" vertical="center"/>
    </xf>
    <xf numFmtId="0" fontId="33" fillId="2" borderId="29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0" fontId="41" fillId="0" borderId="30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14" fontId="34" fillId="0" borderId="31" xfId="0" applyNumberFormat="1" applyFont="1" applyBorder="1" applyAlignment="1">
      <alignment horizontal="center" vertical="center"/>
    </xf>
    <xf numFmtId="0" fontId="9" fillId="4" borderId="0" xfId="2" applyFont="1" applyFill="1" applyAlignment="1">
      <alignment horizontal="left" vertical="center"/>
    </xf>
    <xf numFmtId="0" fontId="8" fillId="4" borderId="0" xfId="9" applyFont="1" applyFill="1" applyAlignment="1">
      <alignment horizontal="center" vertical="center"/>
    </xf>
    <xf numFmtId="0" fontId="42" fillId="4" borderId="0" xfId="9" applyFont="1" applyFill="1" applyAlignment="1">
      <alignment horizontal="center" vertical="center"/>
    </xf>
    <xf numFmtId="0" fontId="8" fillId="4" borderId="0" xfId="6" applyFont="1" applyFill="1" applyAlignment="1">
      <alignment horizontal="center" vertical="center"/>
    </xf>
    <xf numFmtId="0" fontId="9" fillId="4" borderId="37" xfId="6" applyFont="1" applyFill="1" applyBorder="1" applyAlignment="1">
      <alignment horizontal="center"/>
    </xf>
    <xf numFmtId="0" fontId="9" fillId="4" borderId="38" xfId="6" applyFont="1" applyFill="1" applyBorder="1" applyAlignment="1">
      <alignment horizontal="center"/>
    </xf>
    <xf numFmtId="0" fontId="9" fillId="4" borderId="36" xfId="6" applyFont="1" applyFill="1" applyBorder="1" applyAlignment="1">
      <alignment horizontal="center"/>
    </xf>
    <xf numFmtId="0" fontId="8" fillId="0" borderId="1" xfId="2" applyFont="1" applyBorder="1" applyAlignment="1">
      <alignment horizontal="center" vertical="center" wrapText="1"/>
    </xf>
    <xf numFmtId="0" fontId="8" fillId="4" borderId="0" xfId="2" applyFont="1" applyFill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4" xfId="6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0" fontId="8" fillId="0" borderId="2" xfId="2" applyFont="1" applyBorder="1" applyAlignment="1">
      <alignment horizontal="left" vertical="top"/>
    </xf>
    <xf numFmtId="0" fontId="8" fillId="0" borderId="4" xfId="2" applyFont="1" applyBorder="1" applyAlignment="1">
      <alignment horizontal="left" vertical="top"/>
    </xf>
    <xf numFmtId="0" fontId="8" fillId="0" borderId="3" xfId="2" applyFont="1" applyBorder="1" applyAlignment="1">
      <alignment horizontal="left" vertical="top"/>
    </xf>
    <xf numFmtId="0" fontId="8" fillId="0" borderId="2" xfId="2" quotePrefix="1" applyFont="1" applyBorder="1" applyAlignment="1">
      <alignment horizontal="left" vertical="top" wrapText="1"/>
    </xf>
    <xf numFmtId="0" fontId="8" fillId="0" borderId="4" xfId="2" quotePrefix="1" applyFont="1" applyBorder="1" applyAlignment="1">
      <alignment horizontal="left" vertical="top" wrapText="1"/>
    </xf>
    <xf numFmtId="0" fontId="8" fillId="0" borderId="3" xfId="2" quotePrefix="1" applyFont="1" applyBorder="1" applyAlignment="1">
      <alignment horizontal="left" vertical="top" wrapText="1"/>
    </xf>
    <xf numFmtId="0" fontId="8" fillId="0" borderId="2" xfId="6" quotePrefix="1" applyFont="1" applyBorder="1" applyAlignment="1">
      <alignment horizontal="left" vertical="top" wrapText="1"/>
    </xf>
    <xf numFmtId="0" fontId="8" fillId="0" borderId="4" xfId="6" quotePrefix="1" applyFont="1" applyBorder="1" applyAlignment="1">
      <alignment horizontal="left" vertical="top" wrapText="1"/>
    </xf>
    <xf numFmtId="0" fontId="8" fillId="0" borderId="3" xfId="6" quotePrefix="1" applyFont="1" applyBorder="1" applyAlignment="1">
      <alignment horizontal="left" vertical="top" wrapText="1"/>
    </xf>
    <xf numFmtId="0" fontId="8" fillId="0" borderId="63" xfId="6" applyFont="1" applyBorder="1" applyAlignment="1">
      <alignment horizontal="center" vertical="center" wrapText="1"/>
    </xf>
    <xf numFmtId="0" fontId="8" fillId="0" borderId="64" xfId="6" applyFont="1" applyBorder="1" applyAlignment="1">
      <alignment horizontal="center" vertical="center" wrapText="1"/>
    </xf>
    <xf numFmtId="0" fontId="8" fillId="0" borderId="65" xfId="6" applyFont="1" applyBorder="1" applyAlignment="1">
      <alignment horizontal="center" vertical="center" wrapText="1"/>
    </xf>
    <xf numFmtId="0" fontId="8" fillId="0" borderId="63" xfId="6" quotePrefix="1" applyFont="1" applyBorder="1" applyAlignment="1">
      <alignment horizontal="left" vertical="top" wrapText="1"/>
    </xf>
    <xf numFmtId="0" fontId="8" fillId="0" borderId="64" xfId="6" quotePrefix="1" applyFont="1" applyBorder="1" applyAlignment="1">
      <alignment horizontal="left" vertical="top" wrapText="1"/>
    </xf>
    <xf numFmtId="0" fontId="8" fillId="0" borderId="65" xfId="6" quotePrefix="1" applyFont="1" applyBorder="1" applyAlignment="1">
      <alignment horizontal="left" vertical="top" wrapText="1"/>
    </xf>
    <xf numFmtId="0" fontId="8" fillId="0" borderId="1" xfId="6" applyFont="1" applyBorder="1" applyAlignment="1">
      <alignment horizontal="center" vertical="center"/>
    </xf>
    <xf numFmtId="0" fontId="8" fillId="0" borderId="5" xfId="6" applyFont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8" fillId="0" borderId="23" xfId="6" applyFont="1" applyBorder="1" applyAlignment="1">
      <alignment horizontal="center" vertical="center" wrapText="1"/>
    </xf>
    <xf numFmtId="0" fontId="8" fillId="0" borderId="55" xfId="6" quotePrefix="1" applyFont="1" applyBorder="1" applyAlignment="1">
      <alignment horizontal="left" vertical="top" wrapText="1"/>
    </xf>
    <xf numFmtId="0" fontId="8" fillId="0" borderId="62" xfId="6" quotePrefix="1" applyFont="1" applyBorder="1" applyAlignment="1">
      <alignment horizontal="left" vertical="top" wrapText="1"/>
    </xf>
    <xf numFmtId="0" fontId="8" fillId="0" borderId="39" xfId="6" quotePrefix="1" applyFont="1" applyBorder="1" applyAlignment="1">
      <alignment horizontal="left" vertical="top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/>
    </xf>
    <xf numFmtId="0" fontId="43" fillId="6" borderId="3" xfId="0" applyFont="1" applyFill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 wrapText="1"/>
    </xf>
    <xf numFmtId="14" fontId="34" fillId="0" borderId="20" xfId="0" applyNumberFormat="1" applyFont="1" applyBorder="1" applyAlignment="1">
      <alignment horizontal="center" vertical="center"/>
    </xf>
    <xf numFmtId="14" fontId="34" fillId="0" borderId="71" xfId="0" applyNumberFormat="1" applyFont="1" applyBorder="1" applyAlignment="1">
      <alignment horizontal="center" vertical="center"/>
    </xf>
    <xf numFmtId="14" fontId="34" fillId="0" borderId="7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0">
    <cellStyle name="백분율" xfId="1" builtinId="5"/>
    <cellStyle name="쉼표 [0] 2" xfId="4" xr:uid="{00000000-0005-0000-0000-000001000000}"/>
    <cellStyle name="쉼표 [0] 2 2" xfId="7" xr:uid="{00000000-0005-0000-0000-000002000000}"/>
    <cellStyle name="쉼표 [0] 2 3" xfId="8" xr:uid="{00000000-0005-0000-0000-000003000000}"/>
    <cellStyle name="표준" xfId="0" builtinId="0"/>
    <cellStyle name="표준 2" xfId="2" xr:uid="{00000000-0005-0000-0000-000005000000}"/>
    <cellStyle name="표준 2 2" xfId="5" xr:uid="{00000000-0005-0000-0000-000006000000}"/>
    <cellStyle name="표준 2 3" xfId="6" xr:uid="{00000000-0005-0000-0000-000007000000}"/>
    <cellStyle name="표준 3" xfId="3" xr:uid="{00000000-0005-0000-0000-000008000000}"/>
    <cellStyle name="표준 3 2" xfId="9" xr:uid="{00000000-0005-0000-0000-000009000000}"/>
  </cellStyles>
  <dxfs count="5"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7030A0"/>
      </font>
    </dxf>
  </dxfs>
  <tableStyles count="0" defaultTableStyle="TableStyleMedium2" defaultPivotStyle="PivotStyleLight16"/>
  <colors>
    <mruColors>
      <color rgb="FFFBF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Status of Review</a:t>
            </a:r>
          </a:p>
        </c:rich>
      </c:tx>
      <c:layout>
        <c:manualLayout>
          <c:xMode val="edge"/>
          <c:yMode val="edge"/>
          <c:x val="0.3650168094470424"/>
          <c:y val="3.4939337606753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F-4A49-BA20-980DC17594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F-4A49-BA20-980DC1759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'Verification Review Summary'!$B$5:$B$6</c:f>
              <c:strCache>
                <c:ptCount val="2"/>
                <c:pt idx="0">
                  <c:v>준수율 (%)</c:v>
                </c:pt>
                <c:pt idx="1">
                  <c:v>부적합 율 (%)</c:v>
                </c:pt>
              </c:strCache>
            </c:strRef>
          </c:cat>
          <c:val>
            <c:numRef>
              <c:f>'Verification Review Summary'!$C$5:$C$6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EF-4A49-BA20-980DC17594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84EF-4A49-BA20-980DC175947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84EF-4A49-BA20-980DC175947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'Verification Review Summary'!$B$5:$B$6</c15:sqref>
                        </c15:formulaRef>
                      </c:ext>
                    </c:extLst>
                    <c:strCache>
                      <c:ptCount val="2"/>
                      <c:pt idx="0">
                        <c:v>준수율 (%)</c:v>
                      </c:pt>
                      <c:pt idx="1">
                        <c:v>부적합 율 (%)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'Verification Review Summary'!$D$5:$D$6</c15:sqref>
                        </c15:formulaRef>
                      </c:ext>
                    </c:extLst>
                    <c:numCache>
                      <c:formatCode>0.0%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4EF-4A49-BA20-980DC175947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601981</xdr:colOff>
      <xdr:row>3</xdr:row>
      <xdr:rowOff>73174</xdr:rowOff>
    </xdr:from>
    <xdr:to>
      <xdr:col>10</xdr:col>
      <xdr:colOff>292853</xdr:colOff>
      <xdr:row>10</xdr:row>
      <xdr:rowOff>177995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861061" y="621814"/>
          <a:ext cx="6449812" cy="138498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marL="0" marR="0" lvl="0" indent="0" algn="ctr" defTabSz="914400" rtl="0" eaLnBrk="1" fontAlgn="auto" latinLnBrk="0" hangingPunct="1">
            <a:lnSpc>
              <a:spcPts val="2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2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"Software Requirements Specification"</a:t>
          </a:r>
        </a:p>
        <a:p>
          <a:pPr marL="0" marR="0" lvl="0" indent="0" algn="ctr" defTabSz="914400" rtl="0" eaLnBrk="1" fontAlgn="auto" latinLnBrk="0" hangingPunct="1">
            <a:lnSpc>
              <a:spcPts val="2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2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anose="020B0503020000020004" pitchFamily="50" charset="-127"/>
              <a:ea typeface="+mn-ea"/>
              <a:cs typeface="+mn-cs"/>
            </a:rPr>
            <a:t>Review Report</a:t>
          </a:r>
        </a:p>
      </xdr:txBody>
    </xdr:sp>
    <xdr:clientData/>
  </xdr:twoCellAnchor>
  <xdr:twoCellAnchor editAs="oneCell">
    <xdr:from>
      <xdr:col>1</xdr:col>
      <xdr:colOff>114300</xdr:colOff>
      <xdr:row>0</xdr:row>
      <xdr:rowOff>0</xdr:rowOff>
    </xdr:from>
    <xdr:to>
      <xdr:col>2</xdr:col>
      <xdr:colOff>835174</xdr:colOff>
      <xdr:row>3</xdr:row>
      <xdr:rowOff>34290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" y="0"/>
          <a:ext cx="1747221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114621</xdr:rowOff>
    </xdr:from>
    <xdr:to>
      <xdr:col>0</xdr:col>
      <xdr:colOff>662940</xdr:colOff>
      <xdr:row>2</xdr:row>
      <xdr:rowOff>133765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21"/>
          <a:ext cx="662940" cy="46110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71716</xdr:colOff>
      <xdr:row>48</xdr:row>
      <xdr:rowOff>12352</xdr:rowOff>
    </xdr:from>
    <xdr:to>
      <xdr:col>6</xdr:col>
      <xdr:colOff>528918</xdr:colOff>
      <xdr:row>64</xdr:row>
      <xdr:rowOff>143436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16" y="10733692"/>
          <a:ext cx="9075422" cy="3666764"/>
        </a:xfrm>
        <a:prstGeom prst="rect">
          <a:avLst/>
        </a:prstGeom>
      </xdr:spPr>
    </xdr:pic>
    <xdr:clientData/>
  </xdr:twoCellAnchor>
  <xdr:twoCellAnchor editAs="oneCell">
    <xdr:from>
      <xdr:col>0</xdr:col>
      <xdr:colOff>107579</xdr:colOff>
      <xdr:row>64</xdr:row>
      <xdr:rowOff>122926</xdr:rowOff>
    </xdr:from>
    <xdr:to>
      <xdr:col>6</xdr:col>
      <xdr:colOff>555811</xdr:colOff>
      <xdr:row>83</xdr:row>
      <xdr:rowOff>170330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79" y="14379946"/>
          <a:ext cx="9066452" cy="42460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697230</xdr:colOff>
      <xdr:row>2</xdr:row>
      <xdr:rowOff>100965</xdr:rowOff>
    </xdr:from>
    <xdr:to>
      <xdr:col>6</xdr:col>
      <xdr:colOff>523875</xdr:colOff>
      <xdr:row>14</xdr:row>
      <xdr:rowOff>187925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76197</xdr:colOff>
      <xdr:row>0</xdr:row>
      <xdr:rowOff>0</xdr:rowOff>
    </xdr:from>
    <xdr:to>
      <xdr:col>3</xdr:col>
      <xdr:colOff>305881</xdr:colOff>
      <xdr:row>1</xdr:row>
      <xdr:rowOff>35390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2" y="0"/>
          <a:ext cx="477334" cy="28970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76197</xdr:colOff>
      <xdr:row>0</xdr:row>
      <xdr:rowOff>0</xdr:rowOff>
    </xdr:from>
    <xdr:to>
      <xdr:col>3</xdr:col>
      <xdr:colOff>305881</xdr:colOff>
      <xdr:row>1</xdr:row>
      <xdr:rowOff>35390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2" y="0"/>
          <a:ext cx="477334" cy="289707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655320</xdr:colOff>
          <xdr:row>6</xdr:row>
          <xdr:rowOff>190500</xdr:rowOff>
        </xdr:from>
        <xdr:to>
          <xdr:col>2</xdr:col>
          <xdr:colOff>3497580</xdr:colOff>
          <xdr:row>6</xdr:row>
          <xdr:rowOff>1143000</xdr:rowOff>
        </xdr:to>
        <xdr:sp macro="" textlink="">
          <xdr:nvSpPr>
            <xdr:cNvPr id="10245" name="Object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4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640080</xdr:colOff>
          <xdr:row>5</xdr:row>
          <xdr:rowOff>457200</xdr:rowOff>
        </xdr:from>
        <xdr:to>
          <xdr:col>2</xdr:col>
          <xdr:colOff>3566160</xdr:colOff>
          <xdr:row>5</xdr:row>
          <xdr:rowOff>1104900</xdr:rowOff>
        </xdr:to>
        <xdr:sp macro="" textlink="">
          <xdr:nvSpPr>
            <xdr:cNvPr id="10249" name="Object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4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563880</xdr:colOff>
          <xdr:row>7</xdr:row>
          <xdr:rowOff>388620</xdr:rowOff>
        </xdr:from>
        <xdr:to>
          <xdr:col>2</xdr:col>
          <xdr:colOff>3489960</xdr:colOff>
          <xdr:row>7</xdr:row>
          <xdr:rowOff>1036320</xdr:rowOff>
        </xdr:to>
        <xdr:sp macro="" textlink="">
          <xdr:nvSpPr>
            <xdr:cNvPr id="10250" name="Object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4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2\iso26262_tft\01.%20SolutionLink\&#44256;&#44061;\&#46041;&#50896;&#51613;&#44428;\Level2\03_Baseline\&#54532;&#47196;&#49464;&#49828;\SPS_1.2\Template\DWS_Template-MBook_1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2\iso26262_tft\SL\00_Working\12_&#54532;&#47196;&#49464;&#49828;%20&#44060;&#49440;%20&#48143;%20&#51201;&#50857;_090908\&#54532;&#47196;&#51229;&#53944;%20&#44288;&#47532;kit\HUMAX_Template_Status%20Report(for%20PM)_v1.2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world365.sharepoint.com/Users/SL/AppData/Local/Microsoft/Windows/Temporary%20Internet%20Files/SL_Template-Safety%20Case_v2.2_2019-03-21%201705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Sheet1"/>
      <sheetName val="DataBase"/>
      <sheetName val="Drop Data"/>
      <sheetName val="Cover"/>
      <sheetName val="LOW(S4_S5_S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. Project Status"/>
      <sheetName val="2. Risk Tracker"/>
      <sheetName val="3. Issue Tracker"/>
      <sheetName val="4. Action Tracker"/>
      <sheetName val="5. Communication Tracker"/>
      <sheetName val="Resource Estimation &amp; Tracking"/>
      <sheetName val="(Optional)주간업무보고"/>
      <sheetName val="HUMAX_Template_Status Report(fo"/>
      <sheetName val="HIGH(G3_G4_G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O5">
            <v>172</v>
          </cell>
        </row>
        <row r="6">
          <cell r="O6">
            <v>111</v>
          </cell>
        </row>
        <row r="7">
          <cell r="O7">
            <v>99</v>
          </cell>
        </row>
        <row r="10">
          <cell r="C10">
            <v>30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troduction"/>
      <sheetName val="1. Safety Case"/>
      <sheetName val="2. 검토 결과"/>
      <sheetName val="3. 개발 산출물 진척율"/>
      <sheetName val="4. FMEA 결과"/>
      <sheetName val="5. FTA 결과"/>
      <sheetName val="6. HW FMEDA 결과"/>
      <sheetName val="7. DFA 결과"/>
      <sheetName val="8. 이슈 관리"/>
      <sheetName val="형상항목"/>
    </sheetNames>
    <sheetDataSet>
      <sheetData sheetId="0" refreshError="1"/>
      <sheetData sheetId="1" refreshError="1"/>
      <sheetData sheetId="2">
        <row r="7">
          <cell r="J7" t="str">
            <v>DIA</v>
          </cell>
        </row>
        <row r="8">
          <cell r="J8" t="str">
            <v>안전 계획서</v>
          </cell>
        </row>
        <row r="9">
          <cell r="J9" t="str">
            <v>테일러링 결과서</v>
          </cell>
        </row>
        <row r="10">
          <cell r="J10" t="str">
            <v>형상관리 계획서</v>
          </cell>
        </row>
        <row r="11">
          <cell r="J11" t="str">
            <v>변경관리 계획서</v>
          </cell>
        </row>
        <row r="12">
          <cell r="J12" t="str">
            <v>SW Tool Qualification Report</v>
          </cell>
        </row>
        <row r="13">
          <cell r="J13" t="str">
            <v>SW Tool Chain Report</v>
          </cell>
        </row>
        <row r="14">
          <cell r="J14" t="str">
            <v>Item Definition</v>
          </cell>
        </row>
        <row r="15">
          <cell r="J15" t="str">
            <v>HARA</v>
          </cell>
        </row>
        <row r="16">
          <cell r="J16" t="str">
            <v>FSC</v>
          </cell>
        </row>
        <row r="17">
          <cell r="J17" t="str">
            <v>시스템 요구사항 명세서</v>
          </cell>
        </row>
        <row r="18">
          <cell r="J18" t="str">
            <v>시스템 안전 컨셉서</v>
          </cell>
        </row>
        <row r="19">
          <cell r="J19" t="str">
            <v>System FMEA</v>
          </cell>
        </row>
        <row r="20">
          <cell r="J20" t="str">
            <v>System FTA</v>
          </cell>
        </row>
        <row r="21">
          <cell r="J21" t="str">
            <v>System DFA</v>
          </cell>
        </row>
        <row r="22">
          <cell r="J22" t="str">
            <v>HW 요구사항 명세서</v>
          </cell>
        </row>
        <row r="23">
          <cell r="J23" t="str">
            <v>HW Component Qualification Report</v>
          </cell>
        </row>
        <row r="24">
          <cell r="J24" t="str">
            <v>HW FMEA</v>
          </cell>
        </row>
        <row r="25">
          <cell r="J25" t="str">
            <v>HW 설계서</v>
          </cell>
        </row>
        <row r="26">
          <cell r="J26" t="str">
            <v>HW FMEDA</v>
          </cell>
        </row>
        <row r="27">
          <cell r="J27" t="str">
            <v>HW FTA</v>
          </cell>
        </row>
        <row r="28">
          <cell r="J28" t="str">
            <v>HW DFA</v>
          </cell>
        </row>
        <row r="29">
          <cell r="J29" t="str">
            <v>HSI</v>
          </cell>
        </row>
        <row r="30">
          <cell r="J30" t="str">
            <v>SW 요구사항 명세서</v>
          </cell>
        </row>
        <row r="31">
          <cell r="J31" t="str">
            <v>SW 아키텍처 설계서</v>
          </cell>
        </row>
        <row r="32">
          <cell r="J32" t="str">
            <v>SW Component Qualification Report</v>
          </cell>
        </row>
        <row r="33">
          <cell r="J33" t="str">
            <v>SW FMEA</v>
          </cell>
        </row>
        <row r="34">
          <cell r="J34" t="str">
            <v>SW FTA</v>
          </cell>
        </row>
        <row r="35">
          <cell r="J35" t="str">
            <v>SW DFA</v>
          </cell>
        </row>
        <row r="36">
          <cell r="J36" t="str">
            <v>SW 설계서</v>
          </cell>
        </row>
        <row r="37">
          <cell r="J37" t="str">
            <v>HW 통합 테스트 계획서</v>
          </cell>
        </row>
        <row r="38">
          <cell r="J38" t="str">
            <v>HW 통합 테스트 케이스</v>
          </cell>
        </row>
        <row r="39">
          <cell r="J39" t="str">
            <v>SW 단위 테스트 계획서</v>
          </cell>
        </row>
        <row r="40">
          <cell r="J40" t="str">
            <v>SW 단위 테스트 케이스</v>
          </cell>
        </row>
        <row r="41">
          <cell r="J41" t="str">
            <v>SW 통합 테스트 계획서</v>
          </cell>
        </row>
        <row r="42">
          <cell r="J42" t="str">
            <v>SW 통합 테스트 케이스</v>
          </cell>
        </row>
        <row r="43">
          <cell r="J43" t="str">
            <v>SW 요구사항 테스트 계획서</v>
          </cell>
        </row>
        <row r="44">
          <cell r="J44" t="str">
            <v>SW 요구사항 테스트 케이스</v>
          </cell>
        </row>
        <row r="45">
          <cell r="J45" t="str">
            <v>HW-SW 통합 테스트 계획서</v>
          </cell>
        </row>
        <row r="46">
          <cell r="J46" t="str">
            <v>HW-SW 통합 테스트 케이스</v>
          </cell>
        </row>
        <row r="47">
          <cell r="J47" t="str">
            <v>System 통합 테스트 계획서</v>
          </cell>
        </row>
        <row r="48">
          <cell r="J48" t="str">
            <v>System 통합 테스트 케이스</v>
          </cell>
        </row>
        <row r="49">
          <cell r="J49" t="str">
            <v>Vehicle 테스트 계획서</v>
          </cell>
        </row>
        <row r="50">
          <cell r="J50" t="str">
            <v>Vehicle 테스트 케이스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7">
          <cell r="K7" t="str">
            <v>Decomposition</v>
          </cell>
          <cell r="L7" t="str">
            <v>Decomposition</v>
          </cell>
        </row>
        <row r="8">
          <cell r="K8" t="str">
            <v>Environment
System. Coupling</v>
          </cell>
          <cell r="L8" t="str">
            <v>Coexitence of elements</v>
          </cell>
        </row>
        <row r="9">
          <cell r="K9" t="str">
            <v>Coexitence of elements</v>
          </cell>
        </row>
      </sheetData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yeonuk Jeong(정현욱)[Functional Safety Team]" id="{4E1C23C9-50C6-4311-8D0C-8B5256CF53E8}" userId="S::hyeonuk.jeong@slworld.com::c3225eeb-fad0-497c-9521-2922bdd69b93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1-08T00:43:56.62" personId="{4E1C23C9-50C6-4311-8D0C-8B5256CF53E8}" id="{FF703C7F-07F6-4C9E-9868-2396749940F7}">
    <text>대상 문서가 참조하고 있는 산출물명, 버전포함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8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opLeftCell="A19" zoomScale="85" zoomScaleNormal="85" zoomScalePageLayoutView="70" workbookViewId="0">
      <selection activeCell="M25" sqref="M25"/>
    </sheetView>
  </sheetViews>
  <sheetFormatPr defaultRowHeight="14.4"/>
  <cols>
    <col min="1" max="1" width="3.3984375" style="5" customWidth="1"/>
    <col min="2" max="2" width="13.5" style="5" customWidth="1"/>
    <col min="3" max="3" width="13.69921875" style="5" customWidth="1"/>
    <col min="4" max="4" width="11.19921875" style="5" customWidth="1"/>
    <col min="5" max="5" width="2.09765625" style="5" bestFit="1" customWidth="1"/>
    <col min="6" max="7" width="10.69921875" style="5" customWidth="1"/>
    <col min="8" max="8" width="14" style="5" customWidth="1"/>
    <col min="9" max="9" width="12" style="5" customWidth="1"/>
    <col min="10" max="11" width="10.69921875" style="5" customWidth="1"/>
    <col min="12" max="12" width="3.5" style="5" customWidth="1"/>
    <col min="13" max="257" width="8.69921875" style="5"/>
    <col min="258" max="258" width="6.69921875" style="5" customWidth="1"/>
    <col min="259" max="259" width="11.09765625" style="5" customWidth="1"/>
    <col min="260" max="260" width="8.8984375" style="5" customWidth="1"/>
    <col min="261" max="261" width="1.09765625" style="5" customWidth="1"/>
    <col min="262" max="262" width="8.8984375" style="5" customWidth="1"/>
    <col min="263" max="263" width="10" style="5" customWidth="1"/>
    <col min="264" max="264" width="11.19921875" style="5" customWidth="1"/>
    <col min="265" max="265" width="13.8984375" style="5" customWidth="1"/>
    <col min="266" max="266" width="12.59765625" style="5" customWidth="1"/>
    <col min="267" max="513" width="8.69921875" style="5"/>
    <col min="514" max="514" width="6.69921875" style="5" customWidth="1"/>
    <col min="515" max="515" width="11.09765625" style="5" customWidth="1"/>
    <col min="516" max="516" width="8.8984375" style="5" customWidth="1"/>
    <col min="517" max="517" width="1.09765625" style="5" customWidth="1"/>
    <col min="518" max="518" width="8.8984375" style="5" customWidth="1"/>
    <col min="519" max="519" width="10" style="5" customWidth="1"/>
    <col min="520" max="520" width="11.19921875" style="5" customWidth="1"/>
    <col min="521" max="521" width="13.8984375" style="5" customWidth="1"/>
    <col min="522" max="522" width="12.59765625" style="5" customWidth="1"/>
    <col min="523" max="769" width="8.69921875" style="5"/>
    <col min="770" max="770" width="6.69921875" style="5" customWidth="1"/>
    <col min="771" max="771" width="11.09765625" style="5" customWidth="1"/>
    <col min="772" max="772" width="8.8984375" style="5" customWidth="1"/>
    <col min="773" max="773" width="1.09765625" style="5" customWidth="1"/>
    <col min="774" max="774" width="8.8984375" style="5" customWidth="1"/>
    <col min="775" max="775" width="10" style="5" customWidth="1"/>
    <col min="776" max="776" width="11.19921875" style="5" customWidth="1"/>
    <col min="777" max="777" width="13.8984375" style="5" customWidth="1"/>
    <col min="778" max="778" width="12.59765625" style="5" customWidth="1"/>
    <col min="779" max="1025" width="8.69921875" style="5"/>
    <col min="1026" max="1026" width="6.69921875" style="5" customWidth="1"/>
    <col min="1027" max="1027" width="11.09765625" style="5" customWidth="1"/>
    <col min="1028" max="1028" width="8.8984375" style="5" customWidth="1"/>
    <col min="1029" max="1029" width="1.09765625" style="5" customWidth="1"/>
    <col min="1030" max="1030" width="8.8984375" style="5" customWidth="1"/>
    <col min="1031" max="1031" width="10" style="5" customWidth="1"/>
    <col min="1032" max="1032" width="11.19921875" style="5" customWidth="1"/>
    <col min="1033" max="1033" width="13.8984375" style="5" customWidth="1"/>
    <col min="1034" max="1034" width="12.59765625" style="5" customWidth="1"/>
    <col min="1035" max="1281" width="8.69921875" style="5"/>
    <col min="1282" max="1282" width="6.69921875" style="5" customWidth="1"/>
    <col min="1283" max="1283" width="11.09765625" style="5" customWidth="1"/>
    <col min="1284" max="1284" width="8.8984375" style="5" customWidth="1"/>
    <col min="1285" max="1285" width="1.09765625" style="5" customWidth="1"/>
    <col min="1286" max="1286" width="8.8984375" style="5" customWidth="1"/>
    <col min="1287" max="1287" width="10" style="5" customWidth="1"/>
    <col min="1288" max="1288" width="11.19921875" style="5" customWidth="1"/>
    <col min="1289" max="1289" width="13.8984375" style="5" customWidth="1"/>
    <col min="1290" max="1290" width="12.59765625" style="5" customWidth="1"/>
    <col min="1291" max="1537" width="8.69921875" style="5"/>
    <col min="1538" max="1538" width="6.69921875" style="5" customWidth="1"/>
    <col min="1539" max="1539" width="11.09765625" style="5" customWidth="1"/>
    <col min="1540" max="1540" width="8.8984375" style="5" customWidth="1"/>
    <col min="1541" max="1541" width="1.09765625" style="5" customWidth="1"/>
    <col min="1542" max="1542" width="8.8984375" style="5" customWidth="1"/>
    <col min="1543" max="1543" width="10" style="5" customWidth="1"/>
    <col min="1544" max="1544" width="11.19921875" style="5" customWidth="1"/>
    <col min="1545" max="1545" width="13.8984375" style="5" customWidth="1"/>
    <col min="1546" max="1546" width="12.59765625" style="5" customWidth="1"/>
    <col min="1547" max="1793" width="8.69921875" style="5"/>
    <col min="1794" max="1794" width="6.69921875" style="5" customWidth="1"/>
    <col min="1795" max="1795" width="11.09765625" style="5" customWidth="1"/>
    <col min="1796" max="1796" width="8.8984375" style="5" customWidth="1"/>
    <col min="1797" max="1797" width="1.09765625" style="5" customWidth="1"/>
    <col min="1798" max="1798" width="8.8984375" style="5" customWidth="1"/>
    <col min="1799" max="1799" width="10" style="5" customWidth="1"/>
    <col min="1800" max="1800" width="11.19921875" style="5" customWidth="1"/>
    <col min="1801" max="1801" width="13.8984375" style="5" customWidth="1"/>
    <col min="1802" max="1802" width="12.59765625" style="5" customWidth="1"/>
    <col min="1803" max="2049" width="8.69921875" style="5"/>
    <col min="2050" max="2050" width="6.69921875" style="5" customWidth="1"/>
    <col min="2051" max="2051" width="11.09765625" style="5" customWidth="1"/>
    <col min="2052" max="2052" width="8.8984375" style="5" customWidth="1"/>
    <col min="2053" max="2053" width="1.09765625" style="5" customWidth="1"/>
    <col min="2054" max="2054" width="8.8984375" style="5" customWidth="1"/>
    <col min="2055" max="2055" width="10" style="5" customWidth="1"/>
    <col min="2056" max="2056" width="11.19921875" style="5" customWidth="1"/>
    <col min="2057" max="2057" width="13.8984375" style="5" customWidth="1"/>
    <col min="2058" max="2058" width="12.59765625" style="5" customWidth="1"/>
    <col min="2059" max="2305" width="8.69921875" style="5"/>
    <col min="2306" max="2306" width="6.69921875" style="5" customWidth="1"/>
    <col min="2307" max="2307" width="11.09765625" style="5" customWidth="1"/>
    <col min="2308" max="2308" width="8.8984375" style="5" customWidth="1"/>
    <col min="2309" max="2309" width="1.09765625" style="5" customWidth="1"/>
    <col min="2310" max="2310" width="8.8984375" style="5" customWidth="1"/>
    <col min="2311" max="2311" width="10" style="5" customWidth="1"/>
    <col min="2312" max="2312" width="11.19921875" style="5" customWidth="1"/>
    <col min="2313" max="2313" width="13.8984375" style="5" customWidth="1"/>
    <col min="2314" max="2314" width="12.59765625" style="5" customWidth="1"/>
    <col min="2315" max="2561" width="8.69921875" style="5"/>
    <col min="2562" max="2562" width="6.69921875" style="5" customWidth="1"/>
    <col min="2563" max="2563" width="11.09765625" style="5" customWidth="1"/>
    <col min="2564" max="2564" width="8.8984375" style="5" customWidth="1"/>
    <col min="2565" max="2565" width="1.09765625" style="5" customWidth="1"/>
    <col min="2566" max="2566" width="8.8984375" style="5" customWidth="1"/>
    <col min="2567" max="2567" width="10" style="5" customWidth="1"/>
    <col min="2568" max="2568" width="11.19921875" style="5" customWidth="1"/>
    <col min="2569" max="2569" width="13.8984375" style="5" customWidth="1"/>
    <col min="2570" max="2570" width="12.59765625" style="5" customWidth="1"/>
    <col min="2571" max="2817" width="8.69921875" style="5"/>
    <col min="2818" max="2818" width="6.69921875" style="5" customWidth="1"/>
    <col min="2819" max="2819" width="11.09765625" style="5" customWidth="1"/>
    <col min="2820" max="2820" width="8.8984375" style="5" customWidth="1"/>
    <col min="2821" max="2821" width="1.09765625" style="5" customWidth="1"/>
    <col min="2822" max="2822" width="8.8984375" style="5" customWidth="1"/>
    <col min="2823" max="2823" width="10" style="5" customWidth="1"/>
    <col min="2824" max="2824" width="11.19921875" style="5" customWidth="1"/>
    <col min="2825" max="2825" width="13.8984375" style="5" customWidth="1"/>
    <col min="2826" max="2826" width="12.59765625" style="5" customWidth="1"/>
    <col min="2827" max="3073" width="8.69921875" style="5"/>
    <col min="3074" max="3074" width="6.69921875" style="5" customWidth="1"/>
    <col min="3075" max="3075" width="11.09765625" style="5" customWidth="1"/>
    <col min="3076" max="3076" width="8.8984375" style="5" customWidth="1"/>
    <col min="3077" max="3077" width="1.09765625" style="5" customWidth="1"/>
    <col min="3078" max="3078" width="8.8984375" style="5" customWidth="1"/>
    <col min="3079" max="3079" width="10" style="5" customWidth="1"/>
    <col min="3080" max="3080" width="11.19921875" style="5" customWidth="1"/>
    <col min="3081" max="3081" width="13.8984375" style="5" customWidth="1"/>
    <col min="3082" max="3082" width="12.59765625" style="5" customWidth="1"/>
    <col min="3083" max="3329" width="8.69921875" style="5"/>
    <col min="3330" max="3330" width="6.69921875" style="5" customWidth="1"/>
    <col min="3331" max="3331" width="11.09765625" style="5" customWidth="1"/>
    <col min="3332" max="3332" width="8.8984375" style="5" customWidth="1"/>
    <col min="3333" max="3333" width="1.09765625" style="5" customWidth="1"/>
    <col min="3334" max="3334" width="8.8984375" style="5" customWidth="1"/>
    <col min="3335" max="3335" width="10" style="5" customWidth="1"/>
    <col min="3336" max="3336" width="11.19921875" style="5" customWidth="1"/>
    <col min="3337" max="3337" width="13.8984375" style="5" customWidth="1"/>
    <col min="3338" max="3338" width="12.59765625" style="5" customWidth="1"/>
    <col min="3339" max="3585" width="8.69921875" style="5"/>
    <col min="3586" max="3586" width="6.69921875" style="5" customWidth="1"/>
    <col min="3587" max="3587" width="11.09765625" style="5" customWidth="1"/>
    <col min="3588" max="3588" width="8.8984375" style="5" customWidth="1"/>
    <col min="3589" max="3589" width="1.09765625" style="5" customWidth="1"/>
    <col min="3590" max="3590" width="8.8984375" style="5" customWidth="1"/>
    <col min="3591" max="3591" width="10" style="5" customWidth="1"/>
    <col min="3592" max="3592" width="11.19921875" style="5" customWidth="1"/>
    <col min="3593" max="3593" width="13.8984375" style="5" customWidth="1"/>
    <col min="3594" max="3594" width="12.59765625" style="5" customWidth="1"/>
    <col min="3595" max="3841" width="8.69921875" style="5"/>
    <col min="3842" max="3842" width="6.69921875" style="5" customWidth="1"/>
    <col min="3843" max="3843" width="11.09765625" style="5" customWidth="1"/>
    <col min="3844" max="3844" width="8.8984375" style="5" customWidth="1"/>
    <col min="3845" max="3845" width="1.09765625" style="5" customWidth="1"/>
    <col min="3846" max="3846" width="8.8984375" style="5" customWidth="1"/>
    <col min="3847" max="3847" width="10" style="5" customWidth="1"/>
    <col min="3848" max="3848" width="11.19921875" style="5" customWidth="1"/>
    <col min="3849" max="3849" width="13.8984375" style="5" customWidth="1"/>
    <col min="3850" max="3850" width="12.59765625" style="5" customWidth="1"/>
    <col min="3851" max="4097" width="8.69921875" style="5"/>
    <col min="4098" max="4098" width="6.69921875" style="5" customWidth="1"/>
    <col min="4099" max="4099" width="11.09765625" style="5" customWidth="1"/>
    <col min="4100" max="4100" width="8.8984375" style="5" customWidth="1"/>
    <col min="4101" max="4101" width="1.09765625" style="5" customWidth="1"/>
    <col min="4102" max="4102" width="8.8984375" style="5" customWidth="1"/>
    <col min="4103" max="4103" width="10" style="5" customWidth="1"/>
    <col min="4104" max="4104" width="11.19921875" style="5" customWidth="1"/>
    <col min="4105" max="4105" width="13.8984375" style="5" customWidth="1"/>
    <col min="4106" max="4106" width="12.59765625" style="5" customWidth="1"/>
    <col min="4107" max="4353" width="8.69921875" style="5"/>
    <col min="4354" max="4354" width="6.69921875" style="5" customWidth="1"/>
    <col min="4355" max="4355" width="11.09765625" style="5" customWidth="1"/>
    <col min="4356" max="4356" width="8.8984375" style="5" customWidth="1"/>
    <col min="4357" max="4357" width="1.09765625" style="5" customWidth="1"/>
    <col min="4358" max="4358" width="8.8984375" style="5" customWidth="1"/>
    <col min="4359" max="4359" width="10" style="5" customWidth="1"/>
    <col min="4360" max="4360" width="11.19921875" style="5" customWidth="1"/>
    <col min="4361" max="4361" width="13.8984375" style="5" customWidth="1"/>
    <col min="4362" max="4362" width="12.59765625" style="5" customWidth="1"/>
    <col min="4363" max="4609" width="8.69921875" style="5"/>
    <col min="4610" max="4610" width="6.69921875" style="5" customWidth="1"/>
    <col min="4611" max="4611" width="11.09765625" style="5" customWidth="1"/>
    <col min="4612" max="4612" width="8.8984375" style="5" customWidth="1"/>
    <col min="4613" max="4613" width="1.09765625" style="5" customWidth="1"/>
    <col min="4614" max="4614" width="8.8984375" style="5" customWidth="1"/>
    <col min="4615" max="4615" width="10" style="5" customWidth="1"/>
    <col min="4616" max="4616" width="11.19921875" style="5" customWidth="1"/>
    <col min="4617" max="4617" width="13.8984375" style="5" customWidth="1"/>
    <col min="4618" max="4618" width="12.59765625" style="5" customWidth="1"/>
    <col min="4619" max="4865" width="8.69921875" style="5"/>
    <col min="4866" max="4866" width="6.69921875" style="5" customWidth="1"/>
    <col min="4867" max="4867" width="11.09765625" style="5" customWidth="1"/>
    <col min="4868" max="4868" width="8.8984375" style="5" customWidth="1"/>
    <col min="4869" max="4869" width="1.09765625" style="5" customWidth="1"/>
    <col min="4870" max="4870" width="8.8984375" style="5" customWidth="1"/>
    <col min="4871" max="4871" width="10" style="5" customWidth="1"/>
    <col min="4872" max="4872" width="11.19921875" style="5" customWidth="1"/>
    <col min="4873" max="4873" width="13.8984375" style="5" customWidth="1"/>
    <col min="4874" max="4874" width="12.59765625" style="5" customWidth="1"/>
    <col min="4875" max="5121" width="8.69921875" style="5"/>
    <col min="5122" max="5122" width="6.69921875" style="5" customWidth="1"/>
    <col min="5123" max="5123" width="11.09765625" style="5" customWidth="1"/>
    <col min="5124" max="5124" width="8.8984375" style="5" customWidth="1"/>
    <col min="5125" max="5125" width="1.09765625" style="5" customWidth="1"/>
    <col min="5126" max="5126" width="8.8984375" style="5" customWidth="1"/>
    <col min="5127" max="5127" width="10" style="5" customWidth="1"/>
    <col min="5128" max="5128" width="11.19921875" style="5" customWidth="1"/>
    <col min="5129" max="5129" width="13.8984375" style="5" customWidth="1"/>
    <col min="5130" max="5130" width="12.59765625" style="5" customWidth="1"/>
    <col min="5131" max="5377" width="8.69921875" style="5"/>
    <col min="5378" max="5378" width="6.69921875" style="5" customWidth="1"/>
    <col min="5379" max="5379" width="11.09765625" style="5" customWidth="1"/>
    <col min="5380" max="5380" width="8.8984375" style="5" customWidth="1"/>
    <col min="5381" max="5381" width="1.09765625" style="5" customWidth="1"/>
    <col min="5382" max="5382" width="8.8984375" style="5" customWidth="1"/>
    <col min="5383" max="5383" width="10" style="5" customWidth="1"/>
    <col min="5384" max="5384" width="11.19921875" style="5" customWidth="1"/>
    <col min="5385" max="5385" width="13.8984375" style="5" customWidth="1"/>
    <col min="5386" max="5386" width="12.59765625" style="5" customWidth="1"/>
    <col min="5387" max="5633" width="8.69921875" style="5"/>
    <col min="5634" max="5634" width="6.69921875" style="5" customWidth="1"/>
    <col min="5635" max="5635" width="11.09765625" style="5" customWidth="1"/>
    <col min="5636" max="5636" width="8.8984375" style="5" customWidth="1"/>
    <col min="5637" max="5637" width="1.09765625" style="5" customWidth="1"/>
    <col min="5638" max="5638" width="8.8984375" style="5" customWidth="1"/>
    <col min="5639" max="5639" width="10" style="5" customWidth="1"/>
    <col min="5640" max="5640" width="11.19921875" style="5" customWidth="1"/>
    <col min="5641" max="5641" width="13.8984375" style="5" customWidth="1"/>
    <col min="5642" max="5642" width="12.59765625" style="5" customWidth="1"/>
    <col min="5643" max="5889" width="8.69921875" style="5"/>
    <col min="5890" max="5890" width="6.69921875" style="5" customWidth="1"/>
    <col min="5891" max="5891" width="11.09765625" style="5" customWidth="1"/>
    <col min="5892" max="5892" width="8.8984375" style="5" customWidth="1"/>
    <col min="5893" max="5893" width="1.09765625" style="5" customWidth="1"/>
    <col min="5894" max="5894" width="8.8984375" style="5" customWidth="1"/>
    <col min="5895" max="5895" width="10" style="5" customWidth="1"/>
    <col min="5896" max="5896" width="11.19921875" style="5" customWidth="1"/>
    <col min="5897" max="5897" width="13.8984375" style="5" customWidth="1"/>
    <col min="5898" max="5898" width="12.59765625" style="5" customWidth="1"/>
    <col min="5899" max="6145" width="8.69921875" style="5"/>
    <col min="6146" max="6146" width="6.69921875" style="5" customWidth="1"/>
    <col min="6147" max="6147" width="11.09765625" style="5" customWidth="1"/>
    <col min="6148" max="6148" width="8.8984375" style="5" customWidth="1"/>
    <col min="6149" max="6149" width="1.09765625" style="5" customWidth="1"/>
    <col min="6150" max="6150" width="8.8984375" style="5" customWidth="1"/>
    <col min="6151" max="6151" width="10" style="5" customWidth="1"/>
    <col min="6152" max="6152" width="11.19921875" style="5" customWidth="1"/>
    <col min="6153" max="6153" width="13.8984375" style="5" customWidth="1"/>
    <col min="6154" max="6154" width="12.59765625" style="5" customWidth="1"/>
    <col min="6155" max="6401" width="8.69921875" style="5"/>
    <col min="6402" max="6402" width="6.69921875" style="5" customWidth="1"/>
    <col min="6403" max="6403" width="11.09765625" style="5" customWidth="1"/>
    <col min="6404" max="6404" width="8.8984375" style="5" customWidth="1"/>
    <col min="6405" max="6405" width="1.09765625" style="5" customWidth="1"/>
    <col min="6406" max="6406" width="8.8984375" style="5" customWidth="1"/>
    <col min="6407" max="6407" width="10" style="5" customWidth="1"/>
    <col min="6408" max="6408" width="11.19921875" style="5" customWidth="1"/>
    <col min="6409" max="6409" width="13.8984375" style="5" customWidth="1"/>
    <col min="6410" max="6410" width="12.59765625" style="5" customWidth="1"/>
    <col min="6411" max="6657" width="8.69921875" style="5"/>
    <col min="6658" max="6658" width="6.69921875" style="5" customWidth="1"/>
    <col min="6659" max="6659" width="11.09765625" style="5" customWidth="1"/>
    <col min="6660" max="6660" width="8.8984375" style="5" customWidth="1"/>
    <col min="6661" max="6661" width="1.09765625" style="5" customWidth="1"/>
    <col min="6662" max="6662" width="8.8984375" style="5" customWidth="1"/>
    <col min="6663" max="6663" width="10" style="5" customWidth="1"/>
    <col min="6664" max="6664" width="11.19921875" style="5" customWidth="1"/>
    <col min="6665" max="6665" width="13.8984375" style="5" customWidth="1"/>
    <col min="6666" max="6666" width="12.59765625" style="5" customWidth="1"/>
    <col min="6667" max="6913" width="8.69921875" style="5"/>
    <col min="6914" max="6914" width="6.69921875" style="5" customWidth="1"/>
    <col min="6915" max="6915" width="11.09765625" style="5" customWidth="1"/>
    <col min="6916" max="6916" width="8.8984375" style="5" customWidth="1"/>
    <col min="6917" max="6917" width="1.09765625" style="5" customWidth="1"/>
    <col min="6918" max="6918" width="8.8984375" style="5" customWidth="1"/>
    <col min="6919" max="6919" width="10" style="5" customWidth="1"/>
    <col min="6920" max="6920" width="11.19921875" style="5" customWidth="1"/>
    <col min="6921" max="6921" width="13.8984375" style="5" customWidth="1"/>
    <col min="6922" max="6922" width="12.59765625" style="5" customWidth="1"/>
    <col min="6923" max="7169" width="8.69921875" style="5"/>
    <col min="7170" max="7170" width="6.69921875" style="5" customWidth="1"/>
    <col min="7171" max="7171" width="11.09765625" style="5" customWidth="1"/>
    <col min="7172" max="7172" width="8.8984375" style="5" customWidth="1"/>
    <col min="7173" max="7173" width="1.09765625" style="5" customWidth="1"/>
    <col min="7174" max="7174" width="8.8984375" style="5" customWidth="1"/>
    <col min="7175" max="7175" width="10" style="5" customWidth="1"/>
    <col min="7176" max="7176" width="11.19921875" style="5" customWidth="1"/>
    <col min="7177" max="7177" width="13.8984375" style="5" customWidth="1"/>
    <col min="7178" max="7178" width="12.59765625" style="5" customWidth="1"/>
    <col min="7179" max="7425" width="8.69921875" style="5"/>
    <col min="7426" max="7426" width="6.69921875" style="5" customWidth="1"/>
    <col min="7427" max="7427" width="11.09765625" style="5" customWidth="1"/>
    <col min="7428" max="7428" width="8.8984375" style="5" customWidth="1"/>
    <col min="7429" max="7429" width="1.09765625" style="5" customWidth="1"/>
    <col min="7430" max="7430" width="8.8984375" style="5" customWidth="1"/>
    <col min="7431" max="7431" width="10" style="5" customWidth="1"/>
    <col min="7432" max="7432" width="11.19921875" style="5" customWidth="1"/>
    <col min="7433" max="7433" width="13.8984375" style="5" customWidth="1"/>
    <col min="7434" max="7434" width="12.59765625" style="5" customWidth="1"/>
    <col min="7435" max="7681" width="8.69921875" style="5"/>
    <col min="7682" max="7682" width="6.69921875" style="5" customWidth="1"/>
    <col min="7683" max="7683" width="11.09765625" style="5" customWidth="1"/>
    <col min="7684" max="7684" width="8.8984375" style="5" customWidth="1"/>
    <col min="7685" max="7685" width="1.09765625" style="5" customWidth="1"/>
    <col min="7686" max="7686" width="8.8984375" style="5" customWidth="1"/>
    <col min="7687" max="7687" width="10" style="5" customWidth="1"/>
    <col min="7688" max="7688" width="11.19921875" style="5" customWidth="1"/>
    <col min="7689" max="7689" width="13.8984375" style="5" customWidth="1"/>
    <col min="7690" max="7690" width="12.59765625" style="5" customWidth="1"/>
    <col min="7691" max="7937" width="8.69921875" style="5"/>
    <col min="7938" max="7938" width="6.69921875" style="5" customWidth="1"/>
    <col min="7939" max="7939" width="11.09765625" style="5" customWidth="1"/>
    <col min="7940" max="7940" width="8.8984375" style="5" customWidth="1"/>
    <col min="7941" max="7941" width="1.09765625" style="5" customWidth="1"/>
    <col min="7942" max="7942" width="8.8984375" style="5" customWidth="1"/>
    <col min="7943" max="7943" width="10" style="5" customWidth="1"/>
    <col min="7944" max="7944" width="11.19921875" style="5" customWidth="1"/>
    <col min="7945" max="7945" width="13.8984375" style="5" customWidth="1"/>
    <col min="7946" max="7946" width="12.59765625" style="5" customWidth="1"/>
    <col min="7947" max="8193" width="8.69921875" style="5"/>
    <col min="8194" max="8194" width="6.69921875" style="5" customWidth="1"/>
    <col min="8195" max="8195" width="11.09765625" style="5" customWidth="1"/>
    <col min="8196" max="8196" width="8.8984375" style="5" customWidth="1"/>
    <col min="8197" max="8197" width="1.09765625" style="5" customWidth="1"/>
    <col min="8198" max="8198" width="8.8984375" style="5" customWidth="1"/>
    <col min="8199" max="8199" width="10" style="5" customWidth="1"/>
    <col min="8200" max="8200" width="11.19921875" style="5" customWidth="1"/>
    <col min="8201" max="8201" width="13.8984375" style="5" customWidth="1"/>
    <col min="8202" max="8202" width="12.59765625" style="5" customWidth="1"/>
    <col min="8203" max="8449" width="8.69921875" style="5"/>
    <col min="8450" max="8450" width="6.69921875" style="5" customWidth="1"/>
    <col min="8451" max="8451" width="11.09765625" style="5" customWidth="1"/>
    <col min="8452" max="8452" width="8.8984375" style="5" customWidth="1"/>
    <col min="8453" max="8453" width="1.09765625" style="5" customWidth="1"/>
    <col min="8454" max="8454" width="8.8984375" style="5" customWidth="1"/>
    <col min="8455" max="8455" width="10" style="5" customWidth="1"/>
    <col min="8456" max="8456" width="11.19921875" style="5" customWidth="1"/>
    <col min="8457" max="8457" width="13.8984375" style="5" customWidth="1"/>
    <col min="8458" max="8458" width="12.59765625" style="5" customWidth="1"/>
    <col min="8459" max="8705" width="8.69921875" style="5"/>
    <col min="8706" max="8706" width="6.69921875" style="5" customWidth="1"/>
    <col min="8707" max="8707" width="11.09765625" style="5" customWidth="1"/>
    <col min="8708" max="8708" width="8.8984375" style="5" customWidth="1"/>
    <col min="8709" max="8709" width="1.09765625" style="5" customWidth="1"/>
    <col min="8710" max="8710" width="8.8984375" style="5" customWidth="1"/>
    <col min="8711" max="8711" width="10" style="5" customWidth="1"/>
    <col min="8712" max="8712" width="11.19921875" style="5" customWidth="1"/>
    <col min="8713" max="8713" width="13.8984375" style="5" customWidth="1"/>
    <col min="8714" max="8714" width="12.59765625" style="5" customWidth="1"/>
    <col min="8715" max="8961" width="8.69921875" style="5"/>
    <col min="8962" max="8962" width="6.69921875" style="5" customWidth="1"/>
    <col min="8963" max="8963" width="11.09765625" style="5" customWidth="1"/>
    <col min="8964" max="8964" width="8.8984375" style="5" customWidth="1"/>
    <col min="8965" max="8965" width="1.09765625" style="5" customWidth="1"/>
    <col min="8966" max="8966" width="8.8984375" style="5" customWidth="1"/>
    <col min="8967" max="8967" width="10" style="5" customWidth="1"/>
    <col min="8968" max="8968" width="11.19921875" style="5" customWidth="1"/>
    <col min="8969" max="8969" width="13.8984375" style="5" customWidth="1"/>
    <col min="8970" max="8970" width="12.59765625" style="5" customWidth="1"/>
    <col min="8971" max="9217" width="8.69921875" style="5"/>
    <col min="9218" max="9218" width="6.69921875" style="5" customWidth="1"/>
    <col min="9219" max="9219" width="11.09765625" style="5" customWidth="1"/>
    <col min="9220" max="9220" width="8.8984375" style="5" customWidth="1"/>
    <col min="9221" max="9221" width="1.09765625" style="5" customWidth="1"/>
    <col min="9222" max="9222" width="8.8984375" style="5" customWidth="1"/>
    <col min="9223" max="9223" width="10" style="5" customWidth="1"/>
    <col min="9224" max="9224" width="11.19921875" style="5" customWidth="1"/>
    <col min="9225" max="9225" width="13.8984375" style="5" customWidth="1"/>
    <col min="9226" max="9226" width="12.59765625" style="5" customWidth="1"/>
    <col min="9227" max="9473" width="8.69921875" style="5"/>
    <col min="9474" max="9474" width="6.69921875" style="5" customWidth="1"/>
    <col min="9475" max="9475" width="11.09765625" style="5" customWidth="1"/>
    <col min="9476" max="9476" width="8.8984375" style="5" customWidth="1"/>
    <col min="9477" max="9477" width="1.09765625" style="5" customWidth="1"/>
    <col min="9478" max="9478" width="8.8984375" style="5" customWidth="1"/>
    <col min="9479" max="9479" width="10" style="5" customWidth="1"/>
    <col min="9480" max="9480" width="11.19921875" style="5" customWidth="1"/>
    <col min="9481" max="9481" width="13.8984375" style="5" customWidth="1"/>
    <col min="9482" max="9482" width="12.59765625" style="5" customWidth="1"/>
    <col min="9483" max="9729" width="8.69921875" style="5"/>
    <col min="9730" max="9730" width="6.69921875" style="5" customWidth="1"/>
    <col min="9731" max="9731" width="11.09765625" style="5" customWidth="1"/>
    <col min="9732" max="9732" width="8.8984375" style="5" customWidth="1"/>
    <col min="9733" max="9733" width="1.09765625" style="5" customWidth="1"/>
    <col min="9734" max="9734" width="8.8984375" style="5" customWidth="1"/>
    <col min="9735" max="9735" width="10" style="5" customWidth="1"/>
    <col min="9736" max="9736" width="11.19921875" style="5" customWidth="1"/>
    <col min="9737" max="9737" width="13.8984375" style="5" customWidth="1"/>
    <col min="9738" max="9738" width="12.59765625" style="5" customWidth="1"/>
    <col min="9739" max="9985" width="8.69921875" style="5"/>
    <col min="9986" max="9986" width="6.69921875" style="5" customWidth="1"/>
    <col min="9987" max="9987" width="11.09765625" style="5" customWidth="1"/>
    <col min="9988" max="9988" width="8.8984375" style="5" customWidth="1"/>
    <col min="9989" max="9989" width="1.09765625" style="5" customWidth="1"/>
    <col min="9990" max="9990" width="8.8984375" style="5" customWidth="1"/>
    <col min="9991" max="9991" width="10" style="5" customWidth="1"/>
    <col min="9992" max="9992" width="11.19921875" style="5" customWidth="1"/>
    <col min="9993" max="9993" width="13.8984375" style="5" customWidth="1"/>
    <col min="9994" max="9994" width="12.59765625" style="5" customWidth="1"/>
    <col min="9995" max="10241" width="8.69921875" style="5"/>
    <col min="10242" max="10242" width="6.69921875" style="5" customWidth="1"/>
    <col min="10243" max="10243" width="11.09765625" style="5" customWidth="1"/>
    <col min="10244" max="10244" width="8.8984375" style="5" customWidth="1"/>
    <col min="10245" max="10245" width="1.09765625" style="5" customWidth="1"/>
    <col min="10246" max="10246" width="8.8984375" style="5" customWidth="1"/>
    <col min="10247" max="10247" width="10" style="5" customWidth="1"/>
    <col min="10248" max="10248" width="11.19921875" style="5" customWidth="1"/>
    <col min="10249" max="10249" width="13.8984375" style="5" customWidth="1"/>
    <col min="10250" max="10250" width="12.59765625" style="5" customWidth="1"/>
    <col min="10251" max="10497" width="8.69921875" style="5"/>
    <col min="10498" max="10498" width="6.69921875" style="5" customWidth="1"/>
    <col min="10499" max="10499" width="11.09765625" style="5" customWidth="1"/>
    <col min="10500" max="10500" width="8.8984375" style="5" customWidth="1"/>
    <col min="10501" max="10501" width="1.09765625" style="5" customWidth="1"/>
    <col min="10502" max="10502" width="8.8984375" style="5" customWidth="1"/>
    <col min="10503" max="10503" width="10" style="5" customWidth="1"/>
    <col min="10504" max="10504" width="11.19921875" style="5" customWidth="1"/>
    <col min="10505" max="10505" width="13.8984375" style="5" customWidth="1"/>
    <col min="10506" max="10506" width="12.59765625" style="5" customWidth="1"/>
    <col min="10507" max="10753" width="8.69921875" style="5"/>
    <col min="10754" max="10754" width="6.69921875" style="5" customWidth="1"/>
    <col min="10755" max="10755" width="11.09765625" style="5" customWidth="1"/>
    <col min="10756" max="10756" width="8.8984375" style="5" customWidth="1"/>
    <col min="10757" max="10757" width="1.09765625" style="5" customWidth="1"/>
    <col min="10758" max="10758" width="8.8984375" style="5" customWidth="1"/>
    <col min="10759" max="10759" width="10" style="5" customWidth="1"/>
    <col min="10760" max="10760" width="11.19921875" style="5" customWidth="1"/>
    <col min="10761" max="10761" width="13.8984375" style="5" customWidth="1"/>
    <col min="10762" max="10762" width="12.59765625" style="5" customWidth="1"/>
    <col min="10763" max="11009" width="8.69921875" style="5"/>
    <col min="11010" max="11010" width="6.69921875" style="5" customWidth="1"/>
    <col min="11011" max="11011" width="11.09765625" style="5" customWidth="1"/>
    <col min="11012" max="11012" width="8.8984375" style="5" customWidth="1"/>
    <col min="11013" max="11013" width="1.09765625" style="5" customWidth="1"/>
    <col min="11014" max="11014" width="8.8984375" style="5" customWidth="1"/>
    <col min="11015" max="11015" width="10" style="5" customWidth="1"/>
    <col min="11016" max="11016" width="11.19921875" style="5" customWidth="1"/>
    <col min="11017" max="11017" width="13.8984375" style="5" customWidth="1"/>
    <col min="11018" max="11018" width="12.59765625" style="5" customWidth="1"/>
    <col min="11019" max="11265" width="8.69921875" style="5"/>
    <col min="11266" max="11266" width="6.69921875" style="5" customWidth="1"/>
    <col min="11267" max="11267" width="11.09765625" style="5" customWidth="1"/>
    <col min="11268" max="11268" width="8.8984375" style="5" customWidth="1"/>
    <col min="11269" max="11269" width="1.09765625" style="5" customWidth="1"/>
    <col min="11270" max="11270" width="8.8984375" style="5" customWidth="1"/>
    <col min="11271" max="11271" width="10" style="5" customWidth="1"/>
    <col min="11272" max="11272" width="11.19921875" style="5" customWidth="1"/>
    <col min="11273" max="11273" width="13.8984375" style="5" customWidth="1"/>
    <col min="11274" max="11274" width="12.59765625" style="5" customWidth="1"/>
    <col min="11275" max="11521" width="8.69921875" style="5"/>
    <col min="11522" max="11522" width="6.69921875" style="5" customWidth="1"/>
    <col min="11523" max="11523" width="11.09765625" style="5" customWidth="1"/>
    <col min="11524" max="11524" width="8.8984375" style="5" customWidth="1"/>
    <col min="11525" max="11525" width="1.09765625" style="5" customWidth="1"/>
    <col min="11526" max="11526" width="8.8984375" style="5" customWidth="1"/>
    <col min="11527" max="11527" width="10" style="5" customWidth="1"/>
    <col min="11528" max="11528" width="11.19921875" style="5" customWidth="1"/>
    <col min="11529" max="11529" width="13.8984375" style="5" customWidth="1"/>
    <col min="11530" max="11530" width="12.59765625" style="5" customWidth="1"/>
    <col min="11531" max="11777" width="8.69921875" style="5"/>
    <col min="11778" max="11778" width="6.69921875" style="5" customWidth="1"/>
    <col min="11779" max="11779" width="11.09765625" style="5" customWidth="1"/>
    <col min="11780" max="11780" width="8.8984375" style="5" customWidth="1"/>
    <col min="11781" max="11781" width="1.09765625" style="5" customWidth="1"/>
    <col min="11782" max="11782" width="8.8984375" style="5" customWidth="1"/>
    <col min="11783" max="11783" width="10" style="5" customWidth="1"/>
    <col min="11784" max="11784" width="11.19921875" style="5" customWidth="1"/>
    <col min="11785" max="11785" width="13.8984375" style="5" customWidth="1"/>
    <col min="11786" max="11786" width="12.59765625" style="5" customWidth="1"/>
    <col min="11787" max="12033" width="8.69921875" style="5"/>
    <col min="12034" max="12034" width="6.69921875" style="5" customWidth="1"/>
    <col min="12035" max="12035" width="11.09765625" style="5" customWidth="1"/>
    <col min="12036" max="12036" width="8.8984375" style="5" customWidth="1"/>
    <col min="12037" max="12037" width="1.09765625" style="5" customWidth="1"/>
    <col min="12038" max="12038" width="8.8984375" style="5" customWidth="1"/>
    <col min="12039" max="12039" width="10" style="5" customWidth="1"/>
    <col min="12040" max="12040" width="11.19921875" style="5" customWidth="1"/>
    <col min="12041" max="12041" width="13.8984375" style="5" customWidth="1"/>
    <col min="12042" max="12042" width="12.59765625" style="5" customWidth="1"/>
    <col min="12043" max="12289" width="8.69921875" style="5"/>
    <col min="12290" max="12290" width="6.69921875" style="5" customWidth="1"/>
    <col min="12291" max="12291" width="11.09765625" style="5" customWidth="1"/>
    <col min="12292" max="12292" width="8.8984375" style="5" customWidth="1"/>
    <col min="12293" max="12293" width="1.09765625" style="5" customWidth="1"/>
    <col min="12294" max="12294" width="8.8984375" style="5" customWidth="1"/>
    <col min="12295" max="12295" width="10" style="5" customWidth="1"/>
    <col min="12296" max="12296" width="11.19921875" style="5" customWidth="1"/>
    <col min="12297" max="12297" width="13.8984375" style="5" customWidth="1"/>
    <col min="12298" max="12298" width="12.59765625" style="5" customWidth="1"/>
    <col min="12299" max="12545" width="8.69921875" style="5"/>
    <col min="12546" max="12546" width="6.69921875" style="5" customWidth="1"/>
    <col min="12547" max="12547" width="11.09765625" style="5" customWidth="1"/>
    <col min="12548" max="12548" width="8.8984375" style="5" customWidth="1"/>
    <col min="12549" max="12549" width="1.09765625" style="5" customWidth="1"/>
    <col min="12550" max="12550" width="8.8984375" style="5" customWidth="1"/>
    <col min="12551" max="12551" width="10" style="5" customWidth="1"/>
    <col min="12552" max="12552" width="11.19921875" style="5" customWidth="1"/>
    <col min="12553" max="12553" width="13.8984375" style="5" customWidth="1"/>
    <col min="12554" max="12554" width="12.59765625" style="5" customWidth="1"/>
    <col min="12555" max="12801" width="8.69921875" style="5"/>
    <col min="12802" max="12802" width="6.69921875" style="5" customWidth="1"/>
    <col min="12803" max="12803" width="11.09765625" style="5" customWidth="1"/>
    <col min="12804" max="12804" width="8.8984375" style="5" customWidth="1"/>
    <col min="12805" max="12805" width="1.09765625" style="5" customWidth="1"/>
    <col min="12806" max="12806" width="8.8984375" style="5" customWidth="1"/>
    <col min="12807" max="12807" width="10" style="5" customWidth="1"/>
    <col min="12808" max="12808" width="11.19921875" style="5" customWidth="1"/>
    <col min="12809" max="12809" width="13.8984375" style="5" customWidth="1"/>
    <col min="12810" max="12810" width="12.59765625" style="5" customWidth="1"/>
    <col min="12811" max="13057" width="8.69921875" style="5"/>
    <col min="13058" max="13058" width="6.69921875" style="5" customWidth="1"/>
    <col min="13059" max="13059" width="11.09765625" style="5" customWidth="1"/>
    <col min="13060" max="13060" width="8.8984375" style="5" customWidth="1"/>
    <col min="13061" max="13061" width="1.09765625" style="5" customWidth="1"/>
    <col min="13062" max="13062" width="8.8984375" style="5" customWidth="1"/>
    <col min="13063" max="13063" width="10" style="5" customWidth="1"/>
    <col min="13064" max="13064" width="11.19921875" style="5" customWidth="1"/>
    <col min="13065" max="13065" width="13.8984375" style="5" customWidth="1"/>
    <col min="13066" max="13066" width="12.59765625" style="5" customWidth="1"/>
    <col min="13067" max="13313" width="8.69921875" style="5"/>
    <col min="13314" max="13314" width="6.69921875" style="5" customWidth="1"/>
    <col min="13315" max="13315" width="11.09765625" style="5" customWidth="1"/>
    <col min="13316" max="13316" width="8.8984375" style="5" customWidth="1"/>
    <col min="13317" max="13317" width="1.09765625" style="5" customWidth="1"/>
    <col min="13318" max="13318" width="8.8984375" style="5" customWidth="1"/>
    <col min="13319" max="13319" width="10" style="5" customWidth="1"/>
    <col min="13320" max="13320" width="11.19921875" style="5" customWidth="1"/>
    <col min="13321" max="13321" width="13.8984375" style="5" customWidth="1"/>
    <col min="13322" max="13322" width="12.59765625" style="5" customWidth="1"/>
    <col min="13323" max="13569" width="8.69921875" style="5"/>
    <col min="13570" max="13570" width="6.69921875" style="5" customWidth="1"/>
    <col min="13571" max="13571" width="11.09765625" style="5" customWidth="1"/>
    <col min="13572" max="13572" width="8.8984375" style="5" customWidth="1"/>
    <col min="13573" max="13573" width="1.09765625" style="5" customWidth="1"/>
    <col min="13574" max="13574" width="8.8984375" style="5" customWidth="1"/>
    <col min="13575" max="13575" width="10" style="5" customWidth="1"/>
    <col min="13576" max="13576" width="11.19921875" style="5" customWidth="1"/>
    <col min="13577" max="13577" width="13.8984375" style="5" customWidth="1"/>
    <col min="13578" max="13578" width="12.59765625" style="5" customWidth="1"/>
    <col min="13579" max="13825" width="8.69921875" style="5"/>
    <col min="13826" max="13826" width="6.69921875" style="5" customWidth="1"/>
    <col min="13827" max="13827" width="11.09765625" style="5" customWidth="1"/>
    <col min="13828" max="13828" width="8.8984375" style="5" customWidth="1"/>
    <col min="13829" max="13829" width="1.09765625" style="5" customWidth="1"/>
    <col min="13830" max="13830" width="8.8984375" style="5" customWidth="1"/>
    <col min="13831" max="13831" width="10" style="5" customWidth="1"/>
    <col min="13832" max="13832" width="11.19921875" style="5" customWidth="1"/>
    <col min="13833" max="13833" width="13.8984375" style="5" customWidth="1"/>
    <col min="13834" max="13834" width="12.59765625" style="5" customWidth="1"/>
    <col min="13835" max="14081" width="8.69921875" style="5"/>
    <col min="14082" max="14082" width="6.69921875" style="5" customWidth="1"/>
    <col min="14083" max="14083" width="11.09765625" style="5" customWidth="1"/>
    <col min="14084" max="14084" width="8.8984375" style="5" customWidth="1"/>
    <col min="14085" max="14085" width="1.09765625" style="5" customWidth="1"/>
    <col min="14086" max="14086" width="8.8984375" style="5" customWidth="1"/>
    <col min="14087" max="14087" width="10" style="5" customWidth="1"/>
    <col min="14088" max="14088" width="11.19921875" style="5" customWidth="1"/>
    <col min="14089" max="14089" width="13.8984375" style="5" customWidth="1"/>
    <col min="14090" max="14090" width="12.59765625" style="5" customWidth="1"/>
    <col min="14091" max="14337" width="8.69921875" style="5"/>
    <col min="14338" max="14338" width="6.69921875" style="5" customWidth="1"/>
    <col min="14339" max="14339" width="11.09765625" style="5" customWidth="1"/>
    <col min="14340" max="14340" width="8.8984375" style="5" customWidth="1"/>
    <col min="14341" max="14341" width="1.09765625" style="5" customWidth="1"/>
    <col min="14342" max="14342" width="8.8984375" style="5" customWidth="1"/>
    <col min="14343" max="14343" width="10" style="5" customWidth="1"/>
    <col min="14344" max="14344" width="11.19921875" style="5" customWidth="1"/>
    <col min="14345" max="14345" width="13.8984375" style="5" customWidth="1"/>
    <col min="14346" max="14346" width="12.59765625" style="5" customWidth="1"/>
    <col min="14347" max="14593" width="8.69921875" style="5"/>
    <col min="14594" max="14594" width="6.69921875" style="5" customWidth="1"/>
    <col min="14595" max="14595" width="11.09765625" style="5" customWidth="1"/>
    <col min="14596" max="14596" width="8.8984375" style="5" customWidth="1"/>
    <col min="14597" max="14597" width="1.09765625" style="5" customWidth="1"/>
    <col min="14598" max="14598" width="8.8984375" style="5" customWidth="1"/>
    <col min="14599" max="14599" width="10" style="5" customWidth="1"/>
    <col min="14600" max="14600" width="11.19921875" style="5" customWidth="1"/>
    <col min="14601" max="14601" width="13.8984375" style="5" customWidth="1"/>
    <col min="14602" max="14602" width="12.59765625" style="5" customWidth="1"/>
    <col min="14603" max="14849" width="8.69921875" style="5"/>
    <col min="14850" max="14850" width="6.69921875" style="5" customWidth="1"/>
    <col min="14851" max="14851" width="11.09765625" style="5" customWidth="1"/>
    <col min="14852" max="14852" width="8.8984375" style="5" customWidth="1"/>
    <col min="14853" max="14853" width="1.09765625" style="5" customWidth="1"/>
    <col min="14854" max="14854" width="8.8984375" style="5" customWidth="1"/>
    <col min="14855" max="14855" width="10" style="5" customWidth="1"/>
    <col min="14856" max="14856" width="11.19921875" style="5" customWidth="1"/>
    <col min="14857" max="14857" width="13.8984375" style="5" customWidth="1"/>
    <col min="14858" max="14858" width="12.59765625" style="5" customWidth="1"/>
    <col min="14859" max="15105" width="8.69921875" style="5"/>
    <col min="15106" max="15106" width="6.69921875" style="5" customWidth="1"/>
    <col min="15107" max="15107" width="11.09765625" style="5" customWidth="1"/>
    <col min="15108" max="15108" width="8.8984375" style="5" customWidth="1"/>
    <col min="15109" max="15109" width="1.09765625" style="5" customWidth="1"/>
    <col min="15110" max="15110" width="8.8984375" style="5" customWidth="1"/>
    <col min="15111" max="15111" width="10" style="5" customWidth="1"/>
    <col min="15112" max="15112" width="11.19921875" style="5" customWidth="1"/>
    <col min="15113" max="15113" width="13.8984375" style="5" customWidth="1"/>
    <col min="15114" max="15114" width="12.59765625" style="5" customWidth="1"/>
    <col min="15115" max="15361" width="8.69921875" style="5"/>
    <col min="15362" max="15362" width="6.69921875" style="5" customWidth="1"/>
    <col min="15363" max="15363" width="11.09765625" style="5" customWidth="1"/>
    <col min="15364" max="15364" width="8.8984375" style="5" customWidth="1"/>
    <col min="15365" max="15365" width="1.09765625" style="5" customWidth="1"/>
    <col min="15366" max="15366" width="8.8984375" style="5" customWidth="1"/>
    <col min="15367" max="15367" width="10" style="5" customWidth="1"/>
    <col min="15368" max="15368" width="11.19921875" style="5" customWidth="1"/>
    <col min="15369" max="15369" width="13.8984375" style="5" customWidth="1"/>
    <col min="15370" max="15370" width="12.59765625" style="5" customWidth="1"/>
    <col min="15371" max="15617" width="8.69921875" style="5"/>
    <col min="15618" max="15618" width="6.69921875" style="5" customWidth="1"/>
    <col min="15619" max="15619" width="11.09765625" style="5" customWidth="1"/>
    <col min="15620" max="15620" width="8.8984375" style="5" customWidth="1"/>
    <col min="15621" max="15621" width="1.09765625" style="5" customWidth="1"/>
    <col min="15622" max="15622" width="8.8984375" style="5" customWidth="1"/>
    <col min="15623" max="15623" width="10" style="5" customWidth="1"/>
    <col min="15624" max="15624" width="11.19921875" style="5" customWidth="1"/>
    <col min="15625" max="15625" width="13.8984375" style="5" customWidth="1"/>
    <col min="15626" max="15626" width="12.59765625" style="5" customWidth="1"/>
    <col min="15627" max="15873" width="8.69921875" style="5"/>
    <col min="15874" max="15874" width="6.69921875" style="5" customWidth="1"/>
    <col min="15875" max="15875" width="11.09765625" style="5" customWidth="1"/>
    <col min="15876" max="15876" width="8.8984375" style="5" customWidth="1"/>
    <col min="15877" max="15877" width="1.09765625" style="5" customWidth="1"/>
    <col min="15878" max="15878" width="8.8984375" style="5" customWidth="1"/>
    <col min="15879" max="15879" width="10" style="5" customWidth="1"/>
    <col min="15880" max="15880" width="11.19921875" style="5" customWidth="1"/>
    <col min="15881" max="15881" width="13.8984375" style="5" customWidth="1"/>
    <col min="15882" max="15882" width="12.59765625" style="5" customWidth="1"/>
    <col min="15883" max="16129" width="8.69921875" style="5"/>
    <col min="16130" max="16130" width="6.69921875" style="5" customWidth="1"/>
    <col min="16131" max="16131" width="11.09765625" style="5" customWidth="1"/>
    <col min="16132" max="16132" width="8.8984375" style="5" customWidth="1"/>
    <col min="16133" max="16133" width="1.09765625" style="5" customWidth="1"/>
    <col min="16134" max="16134" width="8.8984375" style="5" customWidth="1"/>
    <col min="16135" max="16135" width="10" style="5" customWidth="1"/>
    <col min="16136" max="16136" width="11.19921875" style="5" customWidth="1"/>
    <col min="16137" max="16137" width="13.8984375" style="5" customWidth="1"/>
    <col min="16138" max="16138" width="12.59765625" style="5" customWidth="1"/>
    <col min="16139" max="16384" width="8.69921875" style="5"/>
  </cols>
  <sheetData>
    <row r="1" spans="1:1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 t="e">
        <f>Cover!F25_</f>
        <v>#NAME?</v>
      </c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s="7" customFormat="1" ht="17.100000000000001" customHeight="1">
      <c r="A13" s="31"/>
      <c r="B13" s="6"/>
      <c r="C13" s="181" t="s">
        <v>41</v>
      </c>
      <c r="D13" s="181"/>
      <c r="E13" s="35" t="s">
        <v>42</v>
      </c>
      <c r="F13" s="182" t="s">
        <v>149</v>
      </c>
      <c r="G13" s="183"/>
      <c r="H13" s="183"/>
      <c r="I13" s="183"/>
      <c r="J13" s="183"/>
      <c r="K13" s="31"/>
      <c r="L13" s="31"/>
    </row>
    <row r="14" spans="1:12" s="7" customFormat="1" ht="5.85" customHeight="1">
      <c r="A14" s="31"/>
      <c r="B14" s="6"/>
      <c r="C14" s="8"/>
      <c r="D14" s="8"/>
      <c r="E14" s="9"/>
      <c r="F14" s="69"/>
      <c r="G14" s="69"/>
      <c r="H14" s="69"/>
      <c r="I14" s="69"/>
      <c r="J14" s="69"/>
      <c r="K14" s="31"/>
      <c r="L14" s="31"/>
    </row>
    <row r="15" spans="1:12" s="7" customFormat="1" ht="17.100000000000001" customHeight="1">
      <c r="A15" s="31"/>
      <c r="B15" s="6"/>
      <c r="C15" s="181" t="s">
        <v>113</v>
      </c>
      <c r="D15" s="181"/>
      <c r="E15" s="35" t="s">
        <v>42</v>
      </c>
      <c r="F15" s="182" t="s">
        <v>150</v>
      </c>
      <c r="G15" s="182"/>
      <c r="H15" s="182"/>
      <c r="I15" s="182"/>
      <c r="J15" s="182"/>
      <c r="K15" s="31"/>
      <c r="L15" s="31"/>
    </row>
    <row r="16" spans="1:12" s="7" customFormat="1" ht="5.4" customHeight="1">
      <c r="A16" s="31"/>
      <c r="B16" s="6"/>
      <c r="C16" s="8"/>
      <c r="D16" s="8"/>
      <c r="E16" s="9"/>
      <c r="F16" s="69"/>
      <c r="G16" s="69"/>
      <c r="H16" s="69"/>
      <c r="I16" s="69"/>
      <c r="J16" s="69"/>
      <c r="K16" s="31"/>
      <c r="L16" s="31"/>
    </row>
    <row r="17" spans="1:18" s="7" customFormat="1" ht="18" customHeight="1">
      <c r="A17" s="31"/>
      <c r="B17" s="6"/>
      <c r="C17" s="181" t="s">
        <v>43</v>
      </c>
      <c r="D17" s="181"/>
      <c r="E17" s="35" t="s">
        <v>42</v>
      </c>
      <c r="F17" s="184" t="s">
        <v>151</v>
      </c>
      <c r="G17" s="184"/>
      <c r="H17" s="184"/>
      <c r="I17" s="184"/>
      <c r="J17" s="184"/>
      <c r="K17" s="31"/>
      <c r="L17" s="31"/>
      <c r="R17" s="7" t="s">
        <v>46</v>
      </c>
    </row>
    <row r="18" spans="1:18" s="7" customFormat="1" ht="8.4" customHeight="1">
      <c r="A18" s="31"/>
      <c r="B18" s="6"/>
      <c r="C18" s="8"/>
      <c r="D18" s="8"/>
      <c r="E18" s="9"/>
      <c r="F18" s="70"/>
      <c r="G18" s="70"/>
      <c r="H18" s="70"/>
      <c r="I18" s="70"/>
      <c r="J18" s="70"/>
      <c r="K18" s="31"/>
      <c r="L18" s="31"/>
    </row>
    <row r="19" spans="1:18" s="7" customFormat="1" ht="17.100000000000001" customHeight="1">
      <c r="A19" s="31"/>
      <c r="B19" s="6"/>
      <c r="C19" s="181" t="s">
        <v>44</v>
      </c>
      <c r="D19" s="181"/>
      <c r="E19" s="35" t="s">
        <v>42</v>
      </c>
      <c r="F19" s="182" t="s">
        <v>152</v>
      </c>
      <c r="G19" s="182"/>
      <c r="H19" s="182"/>
      <c r="I19" s="182"/>
      <c r="J19" s="182"/>
      <c r="K19" s="31"/>
      <c r="L19" s="31"/>
    </row>
    <row r="20" spans="1:18" s="7" customFormat="1" ht="5.85" customHeight="1">
      <c r="A20" s="31"/>
      <c r="B20" s="6"/>
      <c r="C20" s="8"/>
      <c r="D20" s="8"/>
      <c r="E20" s="9"/>
      <c r="F20" s="6"/>
      <c r="G20" s="6"/>
      <c r="H20" s="6"/>
      <c r="I20" s="6"/>
      <c r="J20" s="6"/>
      <c r="K20" s="31"/>
      <c r="L20" s="31"/>
    </row>
    <row r="21" spans="1:18" s="7" customFormat="1" ht="17.100000000000001" customHeight="1">
      <c r="A21" s="31"/>
      <c r="B21" s="6"/>
      <c r="C21" s="181" t="s">
        <v>45</v>
      </c>
      <c r="D21" s="181"/>
      <c r="E21" s="35" t="s">
        <v>42</v>
      </c>
      <c r="F21" s="189" t="str">
        <f>F13&amp;"_"&amp;F15&amp;"-SL_SWE1-DC02"</f>
        <v>NX5_PLBM-SL_SWE1-DC02</v>
      </c>
      <c r="G21" s="189"/>
      <c r="H21" s="189"/>
      <c r="I21" s="189"/>
      <c r="J21" s="189"/>
      <c r="K21" s="31"/>
      <c r="L21" s="31"/>
    </row>
    <row r="22" spans="1:18" ht="17.399999999999999">
      <c r="A22" s="4"/>
      <c r="B22" s="10"/>
      <c r="C22" s="10"/>
      <c r="D22" s="10"/>
      <c r="E22" s="10"/>
      <c r="F22" s="10"/>
      <c r="G22" s="10"/>
      <c r="H22" s="10"/>
      <c r="I22" s="10"/>
      <c r="J22" s="10"/>
      <c r="K22" s="4"/>
      <c r="L22" s="4"/>
    </row>
    <row r="23" spans="1:18" ht="17.399999999999999">
      <c r="A23" s="4"/>
      <c r="B23" s="11"/>
      <c r="C23" s="10"/>
      <c r="D23" s="11"/>
      <c r="E23" s="11"/>
      <c r="F23" s="11"/>
      <c r="G23" s="11"/>
      <c r="H23" s="11"/>
      <c r="I23" s="10"/>
      <c r="J23" s="10"/>
      <c r="K23" s="4"/>
      <c r="L23" s="4"/>
    </row>
    <row r="24" spans="1:18" ht="19.8" thickBot="1">
      <c r="A24" s="4"/>
      <c r="B24" s="6"/>
      <c r="C24" s="32" t="s">
        <v>40</v>
      </c>
      <c r="D24" s="33"/>
      <c r="E24" s="33"/>
      <c r="F24" s="33"/>
      <c r="G24" s="33"/>
      <c r="H24" s="33"/>
      <c r="I24" s="33"/>
      <c r="J24" s="33"/>
      <c r="K24" s="4"/>
      <c r="L24" s="4"/>
    </row>
    <row r="25" spans="1:18" ht="17.399999999999999">
      <c r="A25" s="4"/>
      <c r="B25" s="6"/>
      <c r="C25" s="34" t="s">
        <v>37</v>
      </c>
      <c r="D25" s="68" t="s">
        <v>38</v>
      </c>
      <c r="E25" s="185" t="s">
        <v>36</v>
      </c>
      <c r="F25" s="186"/>
      <c r="G25" s="187"/>
      <c r="H25" s="185" t="s">
        <v>39</v>
      </c>
      <c r="I25" s="186"/>
      <c r="J25" s="187"/>
    </row>
    <row r="26" spans="1:18" ht="33" customHeight="1">
      <c r="A26" s="4"/>
      <c r="B26" s="6"/>
      <c r="C26" s="72" t="s">
        <v>101</v>
      </c>
      <c r="D26" s="66" t="s">
        <v>79</v>
      </c>
      <c r="E26" s="188" t="s">
        <v>104</v>
      </c>
      <c r="F26" s="188"/>
      <c r="G26" s="188"/>
      <c r="H26" s="193" t="s">
        <v>81</v>
      </c>
      <c r="I26" s="194"/>
      <c r="J26" s="195"/>
    </row>
    <row r="27" spans="1:18" ht="33" customHeight="1">
      <c r="A27" s="4"/>
      <c r="B27" s="6"/>
      <c r="C27" s="72">
        <v>1.1000000000000001</v>
      </c>
      <c r="D27" s="66" t="s">
        <v>82</v>
      </c>
      <c r="E27" s="188" t="s">
        <v>80</v>
      </c>
      <c r="F27" s="188"/>
      <c r="G27" s="188"/>
      <c r="H27" s="196" t="s">
        <v>83</v>
      </c>
      <c r="I27" s="197"/>
      <c r="J27" s="198"/>
    </row>
    <row r="28" spans="1:18" ht="33" customHeight="1">
      <c r="A28" s="4"/>
      <c r="B28" s="6"/>
      <c r="C28" s="72">
        <v>1.2</v>
      </c>
      <c r="D28" s="66" t="s">
        <v>84</v>
      </c>
      <c r="E28" s="188" t="s">
        <v>80</v>
      </c>
      <c r="F28" s="188"/>
      <c r="G28" s="188"/>
      <c r="H28" s="196" t="s">
        <v>85</v>
      </c>
      <c r="I28" s="197"/>
      <c r="J28" s="198"/>
    </row>
    <row r="29" spans="1:18" ht="33" customHeight="1">
      <c r="A29" s="4"/>
      <c r="B29" s="6"/>
      <c r="C29" s="73">
        <v>1.3</v>
      </c>
      <c r="D29" s="67" t="s">
        <v>86</v>
      </c>
      <c r="E29" s="188" t="s">
        <v>80</v>
      </c>
      <c r="F29" s="188"/>
      <c r="G29" s="188"/>
      <c r="H29" s="199" t="s">
        <v>87</v>
      </c>
      <c r="I29" s="200"/>
      <c r="J29" s="201"/>
    </row>
    <row r="30" spans="1:18" ht="33" customHeight="1">
      <c r="A30" s="4"/>
      <c r="B30" s="6"/>
      <c r="C30" s="73">
        <v>1.4</v>
      </c>
      <c r="D30" s="71" t="s">
        <v>88</v>
      </c>
      <c r="E30" s="190" t="s">
        <v>89</v>
      </c>
      <c r="F30" s="191"/>
      <c r="G30" s="192"/>
      <c r="H30" s="199" t="s">
        <v>90</v>
      </c>
      <c r="I30" s="200"/>
      <c r="J30" s="201"/>
    </row>
    <row r="31" spans="1:18" ht="33" customHeight="1">
      <c r="A31" s="4"/>
      <c r="B31" s="6"/>
      <c r="C31" s="73">
        <v>1.5</v>
      </c>
      <c r="D31" s="71" t="s">
        <v>91</v>
      </c>
      <c r="E31" s="208" t="s">
        <v>89</v>
      </c>
      <c r="F31" s="208"/>
      <c r="G31" s="208"/>
      <c r="H31" s="199" t="s">
        <v>92</v>
      </c>
      <c r="I31" s="200"/>
      <c r="J31" s="201"/>
    </row>
    <row r="32" spans="1:18" ht="33" customHeight="1">
      <c r="A32" s="4"/>
      <c r="B32" s="6"/>
      <c r="C32" s="73">
        <v>1.6</v>
      </c>
      <c r="D32" s="71" t="s">
        <v>93</v>
      </c>
      <c r="E32" s="190" t="s">
        <v>94</v>
      </c>
      <c r="F32" s="191"/>
      <c r="G32" s="192"/>
      <c r="H32" s="199" t="s">
        <v>95</v>
      </c>
      <c r="I32" s="200"/>
      <c r="J32" s="201"/>
    </row>
    <row r="33" spans="1:12" ht="33" customHeight="1">
      <c r="A33" s="4"/>
      <c r="B33" s="6"/>
      <c r="C33" s="73">
        <v>3</v>
      </c>
      <c r="D33" s="71" t="s">
        <v>93</v>
      </c>
      <c r="E33" s="190" t="s">
        <v>94</v>
      </c>
      <c r="F33" s="191"/>
      <c r="G33" s="192"/>
      <c r="H33" s="199" t="s">
        <v>103</v>
      </c>
      <c r="I33" s="200"/>
      <c r="J33" s="201"/>
    </row>
    <row r="34" spans="1:12" ht="33" customHeight="1">
      <c r="A34" s="4"/>
      <c r="B34" s="6"/>
      <c r="C34" s="75">
        <v>3.1</v>
      </c>
      <c r="D34" s="76" t="s">
        <v>102</v>
      </c>
      <c r="E34" s="209" t="s">
        <v>105</v>
      </c>
      <c r="F34" s="210"/>
      <c r="G34" s="211"/>
      <c r="H34" s="212" t="s">
        <v>106</v>
      </c>
      <c r="I34" s="213"/>
      <c r="J34" s="214"/>
    </row>
    <row r="35" spans="1:12" ht="101.25" customHeight="1" thickBot="1">
      <c r="A35" s="4"/>
      <c r="B35" s="6"/>
      <c r="C35" s="77">
        <v>4</v>
      </c>
      <c r="D35" s="78" t="s">
        <v>114</v>
      </c>
      <c r="E35" s="202" t="s">
        <v>112</v>
      </c>
      <c r="F35" s="203"/>
      <c r="G35" s="204"/>
      <c r="H35" s="205" t="s">
        <v>115</v>
      </c>
      <c r="I35" s="206"/>
      <c r="J35" s="207"/>
      <c r="K35" s="4"/>
      <c r="L35" s="4"/>
    </row>
    <row r="36" spans="1:12" ht="17.399999999999999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C38" s="4"/>
      <c r="D38" s="4"/>
      <c r="E38" s="4"/>
      <c r="F38" s="4"/>
      <c r="G38" s="4"/>
      <c r="H38" s="4"/>
      <c r="I38" s="4"/>
      <c r="J38" s="4"/>
    </row>
  </sheetData>
  <mergeCells count="32">
    <mergeCell ref="E35:G35"/>
    <mergeCell ref="E33:G33"/>
    <mergeCell ref="H33:J33"/>
    <mergeCell ref="H35:J35"/>
    <mergeCell ref="E31:G31"/>
    <mergeCell ref="E32:G32"/>
    <mergeCell ref="H31:J31"/>
    <mergeCell ref="H32:J32"/>
    <mergeCell ref="E34:G34"/>
    <mergeCell ref="H34:J34"/>
    <mergeCell ref="E29:G29"/>
    <mergeCell ref="E30:G30"/>
    <mergeCell ref="H26:J26"/>
    <mergeCell ref="H27:J27"/>
    <mergeCell ref="H28:J28"/>
    <mergeCell ref="H29:J29"/>
    <mergeCell ref="H30:J30"/>
    <mergeCell ref="E27:G27"/>
    <mergeCell ref="E28:G28"/>
    <mergeCell ref="H25:J25"/>
    <mergeCell ref="E25:G25"/>
    <mergeCell ref="E26:G26"/>
    <mergeCell ref="C21:D21"/>
    <mergeCell ref="F21:J21"/>
    <mergeCell ref="C19:D19"/>
    <mergeCell ref="F19:J19"/>
    <mergeCell ref="C13:D13"/>
    <mergeCell ref="F13:J13"/>
    <mergeCell ref="C15:D15"/>
    <mergeCell ref="F15:J15"/>
    <mergeCell ref="C17:D17"/>
    <mergeCell ref="F17:J17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"/>
  <sheetViews>
    <sheetView showGridLines="0" zoomScaleNormal="100" workbookViewId="0">
      <selection activeCell="O20" sqref="O20"/>
    </sheetView>
  </sheetViews>
  <sheetFormatPr defaultRowHeight="17.399999999999999"/>
  <cols>
    <col min="2" max="2" width="42.69921875" customWidth="1"/>
    <col min="3" max="3" width="35.19921875" customWidth="1"/>
  </cols>
  <sheetData>
    <row r="1" spans="1:17" ht="17.399999999999999" customHeight="1">
      <c r="B1" s="215" t="s">
        <v>15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17" ht="17.399999999999999" customHeight="1">
      <c r="B2" s="215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</row>
    <row r="3" spans="1:17" ht="17.399999999999999" customHeight="1">
      <c r="A3" s="15"/>
      <c r="B3" s="215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</row>
    <row r="4" spans="1:17" ht="19.2">
      <c r="A4" s="13" t="s">
        <v>47</v>
      </c>
    </row>
    <row r="5" spans="1:17">
      <c r="A5" s="24" t="s">
        <v>48</v>
      </c>
      <c r="B5" s="25"/>
    </row>
    <row r="6" spans="1:17">
      <c r="A6" s="24"/>
      <c r="B6" s="25"/>
    </row>
    <row r="7" spans="1:17" ht="19.2">
      <c r="A7" s="13" t="s">
        <v>49</v>
      </c>
    </row>
    <row r="8" spans="1:17">
      <c r="A8" s="14" t="s">
        <v>50</v>
      </c>
    </row>
    <row r="9" spans="1:17">
      <c r="A9" s="14"/>
    </row>
    <row r="10" spans="1:17">
      <c r="A10" t="s">
        <v>76</v>
      </c>
    </row>
    <row r="12" spans="1:17">
      <c r="A12" t="s">
        <v>51</v>
      </c>
    </row>
    <row r="14" spans="1:17" s="47" customFormat="1">
      <c r="A14" s="46" t="s">
        <v>52</v>
      </c>
    </row>
    <row r="15" spans="1:17" s="47" customFormat="1">
      <c r="A15" s="46"/>
    </row>
    <row r="16" spans="1:17" s="47" customFormat="1">
      <c r="A16" s="46" t="s">
        <v>53</v>
      </c>
    </row>
    <row r="17" spans="1:4" s="47" customFormat="1">
      <c r="A17" s="46"/>
    </row>
    <row r="18" spans="1:4" s="47" customFormat="1">
      <c r="A18" s="46" t="s">
        <v>54</v>
      </c>
    </row>
    <row r="19" spans="1:4" s="47" customFormat="1">
      <c r="A19" s="46" t="s">
        <v>55</v>
      </c>
    </row>
    <row r="20" spans="1:4" s="47" customFormat="1">
      <c r="A20" s="46"/>
    </row>
    <row r="21" spans="1:4" s="47" customFormat="1">
      <c r="A21" s="46" t="s">
        <v>56</v>
      </c>
    </row>
    <row r="22" spans="1:4" s="47" customFormat="1">
      <c r="A22" s="46" t="s">
        <v>57</v>
      </c>
    </row>
    <row r="23" spans="1:4" s="47" customFormat="1">
      <c r="A23" s="46"/>
    </row>
    <row r="24" spans="1:4" s="47" customFormat="1">
      <c r="A24" s="46" t="s">
        <v>58</v>
      </c>
    </row>
    <row r="25" spans="1:4" s="47" customFormat="1">
      <c r="A25" s="46" t="s">
        <v>59</v>
      </c>
    </row>
    <row r="26" spans="1:4" s="47" customFormat="1">
      <c r="A26" s="48" t="s">
        <v>60</v>
      </c>
    </row>
    <row r="27" spans="1:4" s="47" customFormat="1">
      <c r="A27" s="46"/>
    </row>
    <row r="28" spans="1:4" s="47" customFormat="1">
      <c r="A28" s="47" t="s">
        <v>61</v>
      </c>
    </row>
    <row r="29" spans="1:4" s="47" customFormat="1">
      <c r="A29" s="46"/>
    </row>
    <row r="30" spans="1:4" s="47" customFormat="1" ht="19.2">
      <c r="A30" s="49" t="s">
        <v>0</v>
      </c>
      <c r="D30" s="50"/>
    </row>
    <row r="31" spans="1:4" s="47" customFormat="1">
      <c r="A31" s="51" t="s">
        <v>62</v>
      </c>
      <c r="D31" s="52"/>
    </row>
    <row r="32" spans="1:4" s="47" customFormat="1">
      <c r="A32" s="53" t="s">
        <v>63</v>
      </c>
      <c r="D32" s="52"/>
    </row>
    <row r="33" spans="1:4" s="47" customFormat="1">
      <c r="A33" s="47" t="s">
        <v>64</v>
      </c>
    </row>
    <row r="34" spans="1:4" s="47" customFormat="1">
      <c r="A34" s="47" t="s">
        <v>65</v>
      </c>
    </row>
    <row r="35" spans="1:4" s="47" customFormat="1">
      <c r="A35" s="46" t="s">
        <v>66</v>
      </c>
    </row>
    <row r="37" spans="1:4" ht="19.2">
      <c r="A37" s="13" t="s">
        <v>1</v>
      </c>
    </row>
    <row r="38" spans="1:4">
      <c r="A38" s="14" t="s">
        <v>62</v>
      </c>
      <c r="D38" s="16"/>
    </row>
    <row r="39" spans="1:4">
      <c r="A39" s="22" t="s">
        <v>67</v>
      </c>
      <c r="D39" s="16"/>
    </row>
    <row r="40" spans="1:4">
      <c r="A40" s="22" t="s">
        <v>68</v>
      </c>
      <c r="D40" s="16"/>
    </row>
    <row r="41" spans="1:4">
      <c r="A41" t="s">
        <v>69</v>
      </c>
    </row>
    <row r="42" spans="1:4">
      <c r="A42" t="s">
        <v>65</v>
      </c>
    </row>
    <row r="43" spans="1:4">
      <c r="A43" s="23" t="s">
        <v>66</v>
      </c>
    </row>
    <row r="46" spans="1:4" ht="19.2">
      <c r="A46" s="13" t="s">
        <v>24</v>
      </c>
    </row>
    <row r="47" spans="1:4">
      <c r="A47" s="23" t="s">
        <v>70</v>
      </c>
    </row>
    <row r="48" spans="1:4">
      <c r="A48" s="23" t="s">
        <v>71</v>
      </c>
    </row>
  </sheetData>
  <mergeCells count="1">
    <mergeCell ref="B1:Q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7"/>
  <sheetViews>
    <sheetView showGridLines="0" topLeftCell="A21" zoomScale="115" zoomScaleNormal="115" workbookViewId="0">
      <selection activeCell="C6" sqref="C6:D6"/>
    </sheetView>
  </sheetViews>
  <sheetFormatPr defaultRowHeight="17.399999999999999"/>
  <cols>
    <col min="1" max="1" width="3.69921875" customWidth="1"/>
    <col min="2" max="2" width="10.5" customWidth="1"/>
    <col min="3" max="3" width="2.5" customWidth="1"/>
    <col min="4" max="5" width="71" customWidth="1"/>
    <col min="6" max="6" width="15.09765625" customWidth="1"/>
    <col min="7" max="7" width="16.69921875" customWidth="1"/>
    <col min="8" max="8" width="3.59765625" customWidth="1"/>
  </cols>
  <sheetData>
    <row r="1" spans="1:8" ht="17.399999999999999" customHeight="1">
      <c r="A1" s="224" t="s">
        <v>99</v>
      </c>
      <c r="B1" s="216"/>
      <c r="C1" s="216"/>
      <c r="D1" s="216"/>
      <c r="E1" s="216"/>
      <c r="F1" s="216"/>
      <c r="G1" s="216"/>
      <c r="H1" s="216"/>
    </row>
    <row r="2" spans="1:8" ht="17.399999999999999" customHeight="1">
      <c r="A2" s="224"/>
      <c r="B2" s="216"/>
      <c r="C2" s="216"/>
      <c r="D2" s="216"/>
      <c r="E2" s="216"/>
      <c r="F2" s="216"/>
      <c r="G2" s="216"/>
      <c r="H2" s="216"/>
    </row>
    <row r="3" spans="1:8" ht="12.6" customHeight="1"/>
    <row r="4" spans="1:8">
      <c r="B4" s="223" t="s">
        <v>16</v>
      </c>
      <c r="C4" s="223"/>
      <c r="D4" s="223"/>
    </row>
    <row r="5" spans="1:8">
      <c r="B5" s="54" t="s">
        <v>17</v>
      </c>
      <c r="C5" s="221">
        <f>'Verification Review Report '!O4</f>
        <v>1</v>
      </c>
      <c r="D5" s="222"/>
    </row>
    <row r="6" spans="1:8">
      <c r="B6" s="54" t="s">
        <v>18</v>
      </c>
      <c r="C6" s="221">
        <f xml:space="preserve"> 'Verification Review Report '!Q5 / ('Verification Review Report '!Q4 + 'Verification Review Report '!Q5)</f>
        <v>0</v>
      </c>
      <c r="D6" s="222"/>
    </row>
    <row r="18" spans="2:7" s="12" customFormat="1" ht="24" customHeight="1">
      <c r="B18" s="225" t="s">
        <v>19</v>
      </c>
      <c r="C18" s="226"/>
      <c r="D18" s="55" t="s">
        <v>20</v>
      </c>
      <c r="E18" s="55" t="s">
        <v>77</v>
      </c>
      <c r="F18" s="56" t="s">
        <v>96</v>
      </c>
      <c r="G18" s="56" t="s">
        <v>75</v>
      </c>
    </row>
    <row r="19" spans="2:7" s="12" customFormat="1">
      <c r="B19" s="219" t="str">
        <f t="array" ref="B19">IFERROR(INDEX(#REF!, MATCH(1, ( COUNTIF('Verification Review Summary'!$B$18:B18,#REF!) = 0) * ("NG" =#REF!), 0)), "")</f>
        <v/>
      </c>
      <c r="C19" s="220"/>
      <c r="D19" s="82" t="str">
        <f>IFERROR(VLOOKUP(B19,#REF!,2,FALSE),"")</f>
        <v/>
      </c>
      <c r="E19" s="82" t="str">
        <f>IFERROR(VLOOKUP(B19,#REF!,9,FALSE),"")</f>
        <v/>
      </c>
      <c r="F19" s="84"/>
      <c r="G19" s="83"/>
    </row>
    <row r="20" spans="2:7" s="12" customFormat="1">
      <c r="B20" s="217" t="str">
        <f t="array" ref="B20">IFERROR(INDEX(#REF!, MATCH(1, ( COUNTIF('Verification Review Summary'!$B$18:B19,#REF!) = 0) * ("NG" =#REF!), 0)), "")</f>
        <v/>
      </c>
      <c r="C20" s="218"/>
      <c r="D20" s="57" t="str">
        <f>IFERROR(VLOOKUP(B20,#REF!,2,FALSE),"")</f>
        <v/>
      </c>
      <c r="E20" s="57" t="str">
        <f>IFERROR(VLOOKUP(B20,#REF!,9,FALSE),"")</f>
        <v/>
      </c>
      <c r="F20" s="59"/>
      <c r="G20" s="58"/>
    </row>
    <row r="21" spans="2:7" s="12" customFormat="1">
      <c r="B21" s="217" t="str">
        <f t="array" ref="B21">IFERROR(INDEX(#REF!, MATCH(1, ( COUNTIF('Verification Review Summary'!$B$18:B20,#REF!) = 0) * ("NG" =#REF!), 0)), "")</f>
        <v/>
      </c>
      <c r="C21" s="218"/>
      <c r="D21" s="57" t="str">
        <f>IFERROR(VLOOKUP(B21,#REF!,2,FALSE),"")</f>
        <v/>
      </c>
      <c r="E21" s="57" t="str">
        <f>IFERROR(VLOOKUP(B21,#REF!,9,FALSE),"")</f>
        <v/>
      </c>
      <c r="F21" s="59"/>
      <c r="G21" s="58"/>
    </row>
    <row r="22" spans="2:7" s="12" customFormat="1">
      <c r="B22" s="217" t="str">
        <f t="array" ref="B22">IFERROR(INDEX(#REF!, MATCH(1, ( COUNTIF('Verification Review Summary'!$B$18:B21,#REF!) = 0) * ("NG" =#REF!), 0)), "")</f>
        <v/>
      </c>
      <c r="C22" s="218"/>
      <c r="D22" s="57" t="str">
        <f>IFERROR(VLOOKUP(B22,#REF!,2,FALSE),"")</f>
        <v/>
      </c>
      <c r="E22" s="57" t="str">
        <f>IFERROR(VLOOKUP(B22,#REF!,9,FALSE),"")</f>
        <v/>
      </c>
      <c r="F22" s="59"/>
      <c r="G22" s="59"/>
    </row>
    <row r="23" spans="2:7" s="12" customFormat="1">
      <c r="B23" s="217" t="str">
        <f t="array" ref="B23">IFERROR(INDEX(#REF!, MATCH(1, ( COUNTIF('Verification Review Summary'!$B$18:B22,#REF!) = 0) * ("NG" =#REF!), 0)), "")</f>
        <v/>
      </c>
      <c r="C23" s="218"/>
      <c r="D23" s="57" t="str">
        <f>IFERROR(VLOOKUP(B23,#REF!,2,FALSE),"")</f>
        <v/>
      </c>
      <c r="E23" s="57" t="str">
        <f>IFERROR(VLOOKUP(B23,#REF!,9,FALSE),"")</f>
        <v/>
      </c>
      <c r="F23" s="59"/>
      <c r="G23" s="59"/>
    </row>
    <row r="24" spans="2:7" s="12" customFormat="1">
      <c r="B24" s="217" t="str">
        <f t="array" ref="B24">IFERROR(INDEX(#REF!, MATCH(1, ( COUNTIF('Verification Review Summary'!$B$18:B23,#REF!) = 0) * ("NG" =#REF!), 0)), "")</f>
        <v/>
      </c>
      <c r="C24" s="218"/>
      <c r="D24" s="57" t="str">
        <f>IFERROR(VLOOKUP(B24,#REF!,2,FALSE),"")</f>
        <v/>
      </c>
      <c r="E24" s="57" t="str">
        <f>IFERROR(VLOOKUP(B24,#REF!,9,FALSE),"")</f>
        <v/>
      </c>
      <c r="F24" s="59"/>
      <c r="G24" s="59"/>
    </row>
    <row r="25" spans="2:7" s="12" customFormat="1">
      <c r="B25" s="217" t="str">
        <f t="array" ref="B25">IFERROR(INDEX(#REF!, MATCH(1, ( COUNTIF('Verification Review Summary'!$B$18:B24,#REF!) = 0) * ("NG" =#REF!), 0)), "")</f>
        <v/>
      </c>
      <c r="C25" s="218"/>
      <c r="D25" s="57" t="str">
        <f>IFERROR(VLOOKUP(B25,#REF!,2,FALSE),"")</f>
        <v/>
      </c>
      <c r="E25" s="57" t="str">
        <f>IFERROR(VLOOKUP(B25,#REF!,9,FALSE),"")</f>
        <v/>
      </c>
      <c r="F25" s="59"/>
      <c r="G25" s="59"/>
    </row>
    <row r="26" spans="2:7" s="12" customFormat="1">
      <c r="B26" s="217" t="str">
        <f t="array" ref="B26">IFERROR(INDEX(#REF!, MATCH(1, ( COUNTIF('Verification Review Summary'!$B$18:B25,#REF!) = 0) * ("NG" =#REF!), 0)), "")</f>
        <v/>
      </c>
      <c r="C26" s="218"/>
      <c r="D26" s="57" t="str">
        <f>IFERROR(VLOOKUP(B26,#REF!,2,FALSE),"")</f>
        <v/>
      </c>
      <c r="E26" s="57" t="str">
        <f>IFERROR(VLOOKUP(B26,#REF!,9,FALSE),"")</f>
        <v/>
      </c>
      <c r="F26" s="59"/>
      <c r="G26" s="59"/>
    </row>
    <row r="27" spans="2:7" s="12" customFormat="1">
      <c r="B27" s="217" t="str">
        <f t="array" ref="B27">IFERROR(INDEX(#REF!, MATCH(1, ( COUNTIF('Verification Review Summary'!$B$18:B26,#REF!) = 0) * ("NG" =#REF!), 0)), "")</f>
        <v/>
      </c>
      <c r="C27" s="218"/>
      <c r="D27" s="57" t="str">
        <f>IFERROR(VLOOKUP(B27,#REF!,2,FALSE),"")</f>
        <v/>
      </c>
      <c r="E27" s="57" t="str">
        <f>IFERROR(VLOOKUP(B27,#REF!,9,FALSE),"")</f>
        <v/>
      </c>
      <c r="F27" s="59"/>
      <c r="G27" s="59"/>
    </row>
    <row r="28" spans="2:7" s="12" customFormat="1">
      <c r="B28" s="217" t="str">
        <f t="array" ref="B28">IFERROR(INDEX(#REF!, MATCH(1, ( COUNTIF('Verification Review Summary'!$B$18:B27,#REF!) = 0) * ("NG" =#REF!), 0)), "")</f>
        <v/>
      </c>
      <c r="C28" s="218"/>
      <c r="D28" s="57" t="str">
        <f>IFERROR(VLOOKUP(B28,#REF!,2,FALSE),"")</f>
        <v/>
      </c>
      <c r="E28" s="57" t="str">
        <f>IFERROR(VLOOKUP(B28,#REF!,9,FALSE),"")</f>
        <v/>
      </c>
      <c r="F28" s="59"/>
      <c r="G28" s="59"/>
    </row>
    <row r="29" spans="2:7" s="12" customFormat="1">
      <c r="B29" s="217" t="str">
        <f t="array" ref="B29">IFERROR(INDEX(#REF!, MATCH(1, ( COUNTIF('Verification Review Summary'!$B$18:B28,#REF!) = 0) * ("NG" =#REF!), 0)), "")</f>
        <v/>
      </c>
      <c r="C29" s="218"/>
      <c r="D29" s="57" t="str">
        <f>IFERROR(VLOOKUP(B29,#REF!,2,FALSE),"")</f>
        <v/>
      </c>
      <c r="E29" s="57" t="str">
        <f>IFERROR(VLOOKUP(B29,#REF!,9,FALSE),"")</f>
        <v/>
      </c>
      <c r="F29" s="59"/>
      <c r="G29" s="59"/>
    </row>
    <row r="30" spans="2:7" s="12" customFormat="1">
      <c r="B30" s="217" t="str">
        <f t="array" ref="B30">IFERROR(INDEX(#REF!, MATCH(1, ( COUNTIF('Verification Review Summary'!$B$18:B29,#REF!) = 0) * ("NG" =#REF!), 0)), "")</f>
        <v/>
      </c>
      <c r="C30" s="218"/>
      <c r="D30" s="57" t="str">
        <f>IFERROR(VLOOKUP(B30,#REF!,2,FALSE),"")</f>
        <v/>
      </c>
      <c r="E30" s="57" t="str">
        <f>IFERROR(VLOOKUP(B30,#REF!,9,FALSE),"")</f>
        <v/>
      </c>
      <c r="F30" s="59"/>
      <c r="G30" s="59"/>
    </row>
    <row r="31" spans="2:7" s="12" customFormat="1">
      <c r="B31" s="217" t="str">
        <f t="array" ref="B31">IFERROR(INDEX(#REF!, MATCH(1, ( COUNTIF('Verification Review Summary'!$B$18:B30,#REF!) = 0) * ("NG" =#REF!), 0)), "")</f>
        <v/>
      </c>
      <c r="C31" s="218"/>
      <c r="D31" s="57" t="str">
        <f>IFERROR(VLOOKUP(B31,#REF!,2,FALSE),"")</f>
        <v/>
      </c>
      <c r="E31" s="57" t="str">
        <f>IFERROR(VLOOKUP(B31,#REF!,9,FALSE),"")</f>
        <v/>
      </c>
      <c r="F31" s="59"/>
      <c r="G31" s="59"/>
    </row>
    <row r="32" spans="2:7" s="12" customFormat="1">
      <c r="B32" s="217" t="str">
        <f t="array" ref="B32">IFERROR(INDEX(#REF!, MATCH(1, ( COUNTIF('Verification Review Summary'!$B$18:B31,#REF!) = 0) * ("NG" =#REF!), 0)), "")</f>
        <v/>
      </c>
      <c r="C32" s="218"/>
      <c r="D32" s="57" t="str">
        <f>IFERROR(VLOOKUP(B32,#REF!,2,FALSE),"")</f>
        <v/>
      </c>
      <c r="E32" s="57" t="str">
        <f>IFERROR(VLOOKUP(B32,#REF!,9,FALSE),"")</f>
        <v/>
      </c>
      <c r="F32" s="59"/>
      <c r="G32" s="59"/>
    </row>
    <row r="33" spans="2:8" s="12" customFormat="1">
      <c r="B33" s="217" t="str">
        <f t="array" ref="B33">IFERROR(INDEX(#REF!, MATCH(1, ( COUNTIF('Verification Review Summary'!$B$18:B32,#REF!) = 0) * ("NG" =#REF!), 0)), "")</f>
        <v/>
      </c>
      <c r="C33" s="218"/>
      <c r="D33" s="57" t="str">
        <f>IFERROR(VLOOKUP(B33,#REF!,2,FALSE),"")</f>
        <v/>
      </c>
      <c r="E33" s="57" t="str">
        <f>IFERROR(VLOOKUP(B33,#REF!,9,FALSE),"")</f>
        <v/>
      </c>
      <c r="F33" s="59"/>
      <c r="G33" s="59"/>
    </row>
    <row r="34" spans="2:8" s="12" customFormat="1">
      <c r="B34" s="217" t="str">
        <f t="array" ref="B34">IFERROR(INDEX(#REF!, MATCH(1, ( COUNTIF('Verification Review Summary'!$B$18:B33,#REF!) = 0) * ("NG" =#REF!), 0)), "")</f>
        <v/>
      </c>
      <c r="C34" s="218"/>
      <c r="D34" s="57" t="str">
        <f>IFERROR(VLOOKUP(B34,#REF!,2,FALSE),"")</f>
        <v/>
      </c>
      <c r="E34" s="57" t="str">
        <f>IFERROR(VLOOKUP(B34,#REF!,9,FALSE),"")</f>
        <v/>
      </c>
      <c r="F34" s="59"/>
      <c r="G34" s="59"/>
    </row>
    <row r="35" spans="2:8" s="12" customFormat="1">
      <c r="B35" s="217" t="str">
        <f t="array" ref="B35">IFERROR(INDEX(#REF!, MATCH(1, ( COUNTIF('Verification Review Summary'!$B$18:B34,#REF!) = 0) * ("NG" =#REF!), 0)), "")</f>
        <v/>
      </c>
      <c r="C35" s="218"/>
      <c r="D35" s="57" t="str">
        <f>IFERROR(VLOOKUP(B35,#REF!,2,FALSE),"")</f>
        <v/>
      </c>
      <c r="E35" s="57" t="str">
        <f>IFERROR(VLOOKUP(B35,#REF!,9,FALSE),"")</f>
        <v/>
      </c>
      <c r="F35" s="59"/>
      <c r="G35" s="59"/>
    </row>
    <row r="36" spans="2:8" s="12" customFormat="1">
      <c r="B36" s="217" t="str">
        <f t="array" ref="B36">IFERROR(INDEX(#REF!, MATCH(1, ( COUNTIF('Verification Review Summary'!$B$18:B35,#REF!) = 0) * ("NG" =#REF!), 0)), "")</f>
        <v/>
      </c>
      <c r="C36" s="218"/>
      <c r="D36" s="57" t="str">
        <f>IFERROR(VLOOKUP(B36,#REF!,2,FALSE),"")</f>
        <v/>
      </c>
      <c r="E36" s="57" t="str">
        <f>IFERROR(VLOOKUP(B36,#REF!,9,FALSE),"")</f>
        <v/>
      </c>
      <c r="F36" s="59"/>
      <c r="G36" s="59"/>
    </row>
    <row r="37" spans="2:8" s="12" customFormat="1">
      <c r="B37" s="217" t="str">
        <f t="array" ref="B37">IFERROR(INDEX(#REF!, MATCH(1, ( COUNTIF('Verification Review Summary'!$B$18:B36,#REF!) = 0) * ("NG" =#REF!), 0)), "")</f>
        <v/>
      </c>
      <c r="C37" s="218"/>
      <c r="D37" s="57" t="str">
        <f>IFERROR(VLOOKUP(B37,#REF!,2,FALSE),"")</f>
        <v/>
      </c>
      <c r="E37" s="57" t="str">
        <f>IFERROR(VLOOKUP(B37,#REF!,9,FALSE),"")</f>
        <v/>
      </c>
      <c r="F37" s="59"/>
      <c r="G37" s="59"/>
    </row>
    <row r="38" spans="2:8" s="12" customFormat="1">
      <c r="B38" s="217" t="str">
        <f t="array" ref="B38">IFERROR(INDEX(#REF!, MATCH(1, ( COUNTIF('Verification Review Summary'!$B$18:B37,#REF!) = 0) * ("NG" =#REF!), 0)), "")</f>
        <v/>
      </c>
      <c r="C38" s="218"/>
      <c r="D38" s="57" t="str">
        <f>IFERROR(VLOOKUP(B38,#REF!,2,FALSE),"")</f>
        <v/>
      </c>
      <c r="E38" s="57" t="str">
        <f>IFERROR(VLOOKUP(B38,#REF!,9,FALSE),"")</f>
        <v/>
      </c>
      <c r="F38" s="59"/>
      <c r="G38" s="59"/>
    </row>
    <row r="39" spans="2:8" s="12" customFormat="1">
      <c r="B39" s="217" t="str">
        <f t="array" ref="B39">IFERROR(INDEX(#REF!, MATCH(1, ( COUNTIF('Verification Review Summary'!$B$18:B38,#REF!) = 0) * ("NG" =#REF!), 0)), "")</f>
        <v/>
      </c>
      <c r="C39" s="218"/>
      <c r="D39" s="57" t="str">
        <f>IFERROR(VLOOKUP(B39,#REF!,2,FALSE),"")</f>
        <v/>
      </c>
      <c r="E39" s="57" t="str">
        <f>IFERROR(VLOOKUP(B39,#REF!,9,FALSE),"")</f>
        <v/>
      </c>
      <c r="F39" s="59"/>
      <c r="G39" s="59"/>
    </row>
    <row r="40" spans="2:8" s="12" customFormat="1">
      <c r="B40" s="217" t="str">
        <f t="array" ref="B40">IFERROR(INDEX(#REF!, MATCH(1, ( COUNTIF('Verification Review Summary'!$B$18:B39,#REF!) = 0) * ("NG" =#REF!), 0)), "")</f>
        <v/>
      </c>
      <c r="C40" s="218"/>
      <c r="D40" s="57" t="str">
        <f>IFERROR(VLOOKUP(B40,#REF!,2,FALSE),"")</f>
        <v/>
      </c>
      <c r="E40" s="57" t="str">
        <f>IFERROR(VLOOKUP(B40,#REF!,9,FALSE),"")</f>
        <v/>
      </c>
      <c r="F40" s="59"/>
      <c r="G40" s="59"/>
    </row>
    <row r="41" spans="2:8" s="12" customFormat="1">
      <c r="B41" s="217" t="str">
        <f t="array" ref="B41">IFERROR(INDEX(#REF!, MATCH(1, ( COUNTIF('Verification Review Summary'!$B$18:B40,#REF!) = 0) * ("NG" =#REF!), 0)), "")</f>
        <v/>
      </c>
      <c r="C41" s="218"/>
      <c r="D41" s="57" t="str">
        <f>IFERROR(VLOOKUP(B41,#REF!,2,FALSE),"")</f>
        <v/>
      </c>
      <c r="E41" s="57" t="str">
        <f>IFERROR(VLOOKUP(B41,#REF!,9,FALSE),"")</f>
        <v/>
      </c>
      <c r="F41" s="59"/>
      <c r="G41" s="59"/>
    </row>
    <row r="42" spans="2:8" s="12" customFormat="1">
      <c r="B42" s="217" t="str">
        <f t="array" ref="B42">IFERROR(INDEX(#REF!, MATCH(1, ( COUNTIF('Verification Review Summary'!$B$18:B41,#REF!) = 0) * ("NG" =#REF!), 0)), "")</f>
        <v/>
      </c>
      <c r="C42" s="218"/>
      <c r="D42" s="57" t="str">
        <f>IFERROR(VLOOKUP(B42,#REF!,2,FALSE),"")</f>
        <v/>
      </c>
      <c r="E42" s="57" t="str">
        <f>IFERROR(VLOOKUP(B42,#REF!,9,FALSE),"")</f>
        <v/>
      </c>
      <c r="F42" s="59"/>
      <c r="G42" s="59"/>
    </row>
    <row r="43" spans="2:8" s="12" customFormat="1">
      <c r="B43" s="217" t="str">
        <f t="array" ref="B43">IFERROR(INDEX(#REF!, MATCH(1, ( COUNTIF('Verification Review Summary'!$B$18:B42,#REF!) = 0) * ("NG" =#REF!), 0)), "")</f>
        <v/>
      </c>
      <c r="C43" s="218"/>
      <c r="D43" s="57" t="str">
        <f>IFERROR(VLOOKUP(B43,#REF!,2,FALSE),"")</f>
        <v/>
      </c>
      <c r="E43" s="57" t="str">
        <f>IFERROR(VLOOKUP(B43,#REF!,9,FALSE),"")</f>
        <v/>
      </c>
      <c r="F43" s="59"/>
      <c r="G43" s="59"/>
      <c r="H43" s="60"/>
    </row>
    <row r="44" spans="2:8" s="12" customFormat="1">
      <c r="B44" s="217" t="str">
        <f t="array" ref="B44">IFERROR(INDEX(#REF!, MATCH(1, ( COUNTIF('Verification Review Summary'!$B$18:B43,#REF!) = 0) * ("NG" =#REF!), 0)), "")</f>
        <v/>
      </c>
      <c r="C44" s="218"/>
      <c r="D44" s="57" t="str">
        <f>IFERROR(VLOOKUP(B44,#REF!,2,FALSE),"")</f>
        <v/>
      </c>
      <c r="E44" s="57" t="str">
        <f>IFERROR(VLOOKUP(B44,#REF!,9,FALSE),"")</f>
        <v/>
      </c>
      <c r="F44" s="59"/>
      <c r="G44" s="59"/>
      <c r="H44" s="60"/>
    </row>
    <row r="45" spans="2:8" s="12" customFormat="1">
      <c r="B45" s="217" t="str">
        <f t="array" ref="B45">IFERROR(INDEX(#REF!, MATCH(1, ( COUNTIF('Verification Review Summary'!$B$18:B44,#REF!) = 0) * ("NG" =#REF!), 0)), "")</f>
        <v/>
      </c>
      <c r="C45" s="218"/>
      <c r="D45" s="57" t="str">
        <f>IFERROR(VLOOKUP(B45,#REF!,2,FALSE),"")</f>
        <v/>
      </c>
      <c r="E45" s="57" t="str">
        <f>IFERROR(VLOOKUP(B45,#REF!,9,FALSE),"")</f>
        <v/>
      </c>
      <c r="F45" s="59"/>
      <c r="G45" s="59"/>
      <c r="H45" s="60"/>
    </row>
    <row r="46" spans="2:8" s="12" customFormat="1">
      <c r="B46" s="217" t="str">
        <f t="array" ref="B46">IFERROR(INDEX(#REF!, MATCH(1, ( COUNTIF('Verification Review Summary'!$B$18:B45,#REF!) = 0) * ("NG" =#REF!), 0)), "")</f>
        <v/>
      </c>
      <c r="C46" s="218"/>
      <c r="D46" s="57" t="str">
        <f>IFERROR(VLOOKUP(B46,#REF!,2,FALSE),"")</f>
        <v/>
      </c>
      <c r="E46" s="57" t="str">
        <f>IFERROR(VLOOKUP(B46,#REF!,9,FALSE),"")</f>
        <v/>
      </c>
      <c r="F46" s="59"/>
      <c r="G46" s="59"/>
      <c r="H46" s="60"/>
    </row>
    <row r="47" spans="2:8" s="12" customFormat="1">
      <c r="B47" s="217" t="str">
        <f t="array" ref="B47">IFERROR(INDEX(#REF!, MATCH(1, ( COUNTIF('Verification Review Summary'!$B$18:B46,#REF!) = 0) * ("NG" =#REF!), 0)), "")</f>
        <v/>
      </c>
      <c r="C47" s="218"/>
      <c r="D47" s="57" t="str">
        <f>IFERROR(VLOOKUP(B47,#REF!,2,FALSE),"")</f>
        <v/>
      </c>
      <c r="E47" s="57" t="str">
        <f>IFERROR(VLOOKUP(B47,#REF!,9,FALSE),"")</f>
        <v/>
      </c>
      <c r="F47" s="59"/>
      <c r="G47" s="59"/>
      <c r="H47" s="60"/>
    </row>
    <row r="48" spans="2:8" s="12" customFormat="1">
      <c r="B48" s="217" t="str">
        <f t="array" ref="B48">IFERROR(INDEX(#REF!, MATCH(1, ( COUNTIF('Verification Review Summary'!$B$18:B47,#REF!) = 0) * ("NG" =#REF!), 0)), "")</f>
        <v/>
      </c>
      <c r="C48" s="218"/>
      <c r="D48" s="57" t="str">
        <f>IFERROR(VLOOKUP(B48,#REF!,2,FALSE),"")</f>
        <v/>
      </c>
      <c r="E48" s="57" t="str">
        <f>IFERROR(VLOOKUP(B48,#REF!,9,FALSE),"")</f>
        <v/>
      </c>
      <c r="F48" s="59"/>
      <c r="G48" s="59"/>
      <c r="H48" s="60"/>
    </row>
    <row r="49" spans="2:8" s="12" customFormat="1">
      <c r="B49" s="217" t="str">
        <f t="array" ref="B49">IFERROR(INDEX(#REF!, MATCH(1, ( COUNTIF('Verification Review Summary'!$B$18:B48,#REF!) = 0) * ("NG" =#REF!), 0)), "")</f>
        <v/>
      </c>
      <c r="C49" s="218"/>
      <c r="D49" s="57" t="str">
        <f>IFERROR(VLOOKUP(B49,#REF!,2,FALSE),"")</f>
        <v/>
      </c>
      <c r="E49" s="57" t="str">
        <f>IFERROR(VLOOKUP(B49,#REF!,9,FALSE),"")</f>
        <v/>
      </c>
      <c r="F49" s="59"/>
      <c r="G49" s="59"/>
      <c r="H49" s="60"/>
    </row>
    <row r="50" spans="2:8" s="12" customFormat="1">
      <c r="B50" s="217" t="str">
        <f t="array" ref="B50">IFERROR(INDEX(#REF!, MATCH(1, ( COUNTIF('Verification Review Summary'!$B$18:B49,#REF!) = 0) * ("NG" =#REF!), 0)), "")</f>
        <v/>
      </c>
      <c r="C50" s="218"/>
      <c r="D50" s="57" t="str">
        <f>IFERROR(VLOOKUP(B50,#REF!,2,FALSE),"")</f>
        <v/>
      </c>
      <c r="E50" s="57" t="str">
        <f>IFERROR(VLOOKUP(B50,#REF!,9,FALSE),"")</f>
        <v/>
      </c>
      <c r="F50" s="59"/>
      <c r="G50" s="59"/>
      <c r="H50" s="60"/>
    </row>
    <row r="51" spans="2:8" s="12" customFormat="1">
      <c r="B51" s="217" t="str">
        <f t="array" ref="B51">IFERROR(INDEX(#REF!, MATCH(1, ( COUNTIF('Verification Review Summary'!$B$18:B50,#REF!) = 0) * ("NG" =#REF!), 0)), "")</f>
        <v/>
      </c>
      <c r="C51" s="218"/>
      <c r="D51" s="57" t="str">
        <f>IFERROR(VLOOKUP(B51,#REF!,2,FALSE),"")</f>
        <v/>
      </c>
      <c r="E51" s="57" t="str">
        <f>IFERROR(VLOOKUP(B51,#REF!,9,FALSE),"")</f>
        <v/>
      </c>
      <c r="F51" s="59"/>
      <c r="G51" s="59"/>
      <c r="H51" s="60"/>
    </row>
    <row r="52" spans="2:8" s="12" customFormat="1">
      <c r="B52" s="217" t="str">
        <f t="array" ref="B52">IFERROR(INDEX(#REF!, MATCH(1, ( COUNTIF('Verification Review Summary'!$B$18:B51,#REF!) = 0) * ("NG" =#REF!), 0)), "")</f>
        <v/>
      </c>
      <c r="C52" s="218"/>
      <c r="D52" s="57" t="str">
        <f>IFERROR(VLOOKUP(B52,#REF!,2,FALSE),"")</f>
        <v/>
      </c>
      <c r="E52" s="57" t="str">
        <f>IFERROR(VLOOKUP(B52,#REF!,9,FALSE),"")</f>
        <v/>
      </c>
      <c r="F52" s="59"/>
      <c r="G52" s="59"/>
      <c r="H52" s="60"/>
    </row>
    <row r="53" spans="2:8" s="12" customFormat="1">
      <c r="B53" s="217" t="str">
        <f t="array" ref="B53">IFERROR(INDEX(#REF!, MATCH(1, ( COUNTIF('Verification Review Summary'!$B$18:B52,#REF!) = 0) * ("NG" =#REF!), 0)), "")</f>
        <v/>
      </c>
      <c r="C53" s="218"/>
      <c r="D53" s="57" t="str">
        <f>IFERROR(VLOOKUP(B53,#REF!,2,FALSE),"")</f>
        <v/>
      </c>
      <c r="E53" s="57" t="str">
        <f>IFERROR(VLOOKUP(B53,#REF!,9,FALSE),"")</f>
        <v/>
      </c>
      <c r="F53" s="59"/>
      <c r="G53" s="59"/>
      <c r="H53" s="60"/>
    </row>
    <row r="54" spans="2:8">
      <c r="H54" s="45"/>
    </row>
    <row r="55" spans="2:8">
      <c r="H55" s="45"/>
    </row>
    <row r="56" spans="2:8">
      <c r="H56" s="45"/>
    </row>
    <row r="57" spans="2:8">
      <c r="H57" s="45"/>
    </row>
    <row r="58" spans="2:8">
      <c r="H58" s="45"/>
    </row>
    <row r="59" spans="2:8">
      <c r="H59" s="45"/>
    </row>
    <row r="60" spans="2:8">
      <c r="H60" s="45"/>
    </row>
    <row r="61" spans="2:8">
      <c r="H61" s="45"/>
    </row>
    <row r="62" spans="2:8">
      <c r="H62" s="45"/>
    </row>
    <row r="63" spans="2:8">
      <c r="H63" s="45"/>
    </row>
    <row r="64" spans="2:8">
      <c r="H64" s="45"/>
    </row>
    <row r="65" spans="8:8">
      <c r="H65" s="45"/>
    </row>
    <row r="66" spans="8:8">
      <c r="H66" s="45"/>
    </row>
    <row r="67" spans="8:8">
      <c r="H67" s="45"/>
    </row>
    <row r="68" spans="8:8">
      <c r="H68" s="45"/>
    </row>
    <row r="69" spans="8:8">
      <c r="H69" s="45"/>
    </row>
    <row r="70" spans="8:8">
      <c r="H70" s="45"/>
    </row>
    <row r="71" spans="8:8">
      <c r="H71" s="45"/>
    </row>
    <row r="72" spans="8:8">
      <c r="H72" s="45"/>
    </row>
    <row r="73" spans="8:8">
      <c r="H73" s="45"/>
    </row>
    <row r="74" spans="8:8">
      <c r="H74" s="45"/>
    </row>
    <row r="75" spans="8:8">
      <c r="H75" s="45"/>
    </row>
    <row r="76" spans="8:8">
      <c r="H76" s="45"/>
    </row>
    <row r="77" spans="8:8">
      <c r="H77" s="45"/>
    </row>
    <row r="78" spans="8:8">
      <c r="H78" s="45"/>
    </row>
    <row r="79" spans="8:8">
      <c r="H79" s="45"/>
    </row>
    <row r="80" spans="8:8">
      <c r="H80" s="45"/>
    </row>
    <row r="81" spans="8:8">
      <c r="H81" s="45"/>
    </row>
    <row r="82" spans="8:8">
      <c r="H82" s="45"/>
    </row>
    <row r="83" spans="8:8">
      <c r="H83" s="45"/>
    </row>
    <row r="84" spans="8:8">
      <c r="H84" s="45"/>
    </row>
    <row r="85" spans="8:8">
      <c r="H85" s="45"/>
    </row>
    <row r="86" spans="8:8">
      <c r="H86" s="45"/>
    </row>
    <row r="87" spans="8:8">
      <c r="H87" s="45"/>
    </row>
    <row r="88" spans="8:8">
      <c r="H88" s="45"/>
    </row>
    <row r="89" spans="8:8">
      <c r="H89" s="45"/>
    </row>
    <row r="90" spans="8:8">
      <c r="H90" s="45"/>
    </row>
    <row r="91" spans="8:8">
      <c r="H91" s="45"/>
    </row>
    <row r="92" spans="8:8">
      <c r="H92" s="45"/>
    </row>
    <row r="93" spans="8:8">
      <c r="H93" s="45"/>
    </row>
    <row r="94" spans="8:8">
      <c r="H94" s="45"/>
    </row>
    <row r="95" spans="8:8">
      <c r="H95" s="45"/>
    </row>
    <row r="96" spans="8:8">
      <c r="H96" s="45"/>
    </row>
    <row r="97" spans="8:8">
      <c r="H97" s="45"/>
    </row>
    <row r="98" spans="8:8">
      <c r="H98" s="45"/>
    </row>
    <row r="99" spans="8:8">
      <c r="H99" s="45"/>
    </row>
    <row r="100" spans="8:8">
      <c r="H100" s="45"/>
    </row>
    <row r="101" spans="8:8">
      <c r="H101" s="45"/>
    </row>
    <row r="102" spans="8:8">
      <c r="H102" s="45"/>
    </row>
    <row r="103" spans="8:8">
      <c r="H103" s="45"/>
    </row>
    <row r="104" spans="8:8">
      <c r="H104" s="45"/>
    </row>
    <row r="105" spans="8:8">
      <c r="H105" s="45"/>
    </row>
    <row r="106" spans="8:8">
      <c r="H106" s="45"/>
    </row>
    <row r="107" spans="8:8">
      <c r="H107" s="45"/>
    </row>
  </sheetData>
  <mergeCells count="40">
    <mergeCell ref="C6:D6"/>
    <mergeCell ref="B4:D4"/>
    <mergeCell ref="C5:D5"/>
    <mergeCell ref="A1:H2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1589-02BC-4B8C-8125-138C8F9F5E6D}">
  <dimension ref="A1:R116"/>
  <sheetViews>
    <sheetView showGridLines="0" tabSelected="1" topLeftCell="B54" zoomScale="130" zoomScaleNormal="130" zoomScaleSheetLayoutView="85" workbookViewId="0">
      <selection activeCell="J55" sqref="J55"/>
    </sheetView>
  </sheetViews>
  <sheetFormatPr defaultRowHeight="17.399999999999999"/>
  <cols>
    <col min="1" max="1" width="0.8984375" customWidth="1"/>
    <col min="2" max="2" width="3.19921875" style="2" customWidth="1"/>
    <col min="3" max="3" width="3.19921875" customWidth="1"/>
    <col min="4" max="4" width="4.59765625" customWidth="1"/>
    <col min="5" max="5" width="14.8984375" customWidth="1"/>
    <col min="6" max="6" width="13.69921875" customWidth="1"/>
    <col min="7" max="7" width="11.69921875" style="1" customWidth="1"/>
    <col min="8" max="8" width="16.19921875" style="1" customWidth="1"/>
    <col min="9" max="9" width="10.09765625" style="1" customWidth="1"/>
    <col min="10" max="10" width="20.3984375" style="1" customWidth="1"/>
    <col min="11" max="11" width="7.09765625" customWidth="1"/>
    <col min="12" max="12" width="1.09765625" customWidth="1"/>
    <col min="13" max="13" width="0.8984375" customWidth="1"/>
    <col min="14" max="14" width="9.69921875" customWidth="1"/>
    <col min="15" max="15" width="10.19921875" customWidth="1"/>
    <col min="16" max="16" width="19.5" style="12" customWidth="1"/>
    <col min="17" max="17" width="7.8984375" customWidth="1"/>
    <col min="18" max="18" width="69.8984375" style="1" customWidth="1"/>
    <col min="19" max="19" width="4.59765625" customWidth="1"/>
  </cols>
  <sheetData>
    <row r="1" spans="2:18" ht="22.95" customHeight="1">
      <c r="B1"/>
      <c r="C1" s="166"/>
      <c r="D1" s="167"/>
      <c r="E1" s="168" t="s">
        <v>100</v>
      </c>
      <c r="F1" s="169"/>
      <c r="G1" s="170"/>
      <c r="H1" s="169"/>
      <c r="I1" s="169"/>
      <c r="J1" s="169"/>
      <c r="K1" s="171"/>
      <c r="N1" s="172" t="s">
        <v>2</v>
      </c>
      <c r="O1" s="173"/>
      <c r="P1" s="173"/>
      <c r="Q1" s="174"/>
      <c r="R1" s="61" t="s">
        <v>3</v>
      </c>
    </row>
    <row r="2" spans="2:18" ht="22.95" customHeight="1">
      <c r="B2"/>
      <c r="C2" s="175" t="s">
        <v>4</v>
      </c>
      <c r="D2" s="176"/>
      <c r="E2" s="177"/>
      <c r="F2" s="79" t="s">
        <v>153</v>
      </c>
      <c r="G2" s="30" t="s">
        <v>26</v>
      </c>
      <c r="H2" s="178" t="s">
        <v>443</v>
      </c>
      <c r="I2" s="227"/>
      <c r="J2" s="227"/>
      <c r="K2" s="179"/>
      <c r="N2" s="62" t="s">
        <v>8</v>
      </c>
      <c r="O2" s="20" t="s">
        <v>237</v>
      </c>
      <c r="P2" s="17" t="s">
        <v>29</v>
      </c>
      <c r="Q2" s="18">
        <f>COUNTIF($K$36:$K$146,"OK")+COUNTIF($K$36:$K$146,"OK But") + COUNTIF($K$36:$K$146, "NG")</f>
        <v>17</v>
      </c>
      <c r="R2" s="63" t="s">
        <v>5</v>
      </c>
    </row>
    <row r="3" spans="2:18" ht="22.95" customHeight="1">
      <c r="B3"/>
      <c r="C3" s="137" t="s">
        <v>72</v>
      </c>
      <c r="D3" s="138"/>
      <c r="E3" s="139"/>
      <c r="F3" s="80" t="s">
        <v>213</v>
      </c>
      <c r="G3" s="36" t="s">
        <v>25</v>
      </c>
      <c r="H3" s="180" t="s">
        <v>154</v>
      </c>
      <c r="I3" s="228"/>
      <c r="J3" s="228"/>
      <c r="K3" s="143"/>
      <c r="N3" s="40" t="s">
        <v>11</v>
      </c>
      <c r="O3" s="41" t="s">
        <v>155</v>
      </c>
      <c r="P3" s="17" t="s">
        <v>27</v>
      </c>
      <c r="Q3" s="19">
        <f>COUNTIF($K$36:$K$146,"N/A")</f>
        <v>64</v>
      </c>
      <c r="R3" s="64" t="s">
        <v>7</v>
      </c>
    </row>
    <row r="4" spans="2:18" ht="22.95" customHeight="1">
      <c r="B4"/>
      <c r="C4" s="144" t="s">
        <v>30</v>
      </c>
      <c r="D4" s="145"/>
      <c r="E4" s="146"/>
      <c r="F4" s="161" t="s">
        <v>241</v>
      </c>
      <c r="G4" s="141"/>
      <c r="H4" s="142"/>
      <c r="I4" s="229"/>
      <c r="J4" s="229"/>
      <c r="K4" s="143"/>
      <c r="N4" s="162" t="s">
        <v>6</v>
      </c>
      <c r="O4" s="164">
        <f>IFERROR(Q4/Q2, "0.0%")</f>
        <v>1</v>
      </c>
      <c r="P4" s="17" t="s">
        <v>9</v>
      </c>
      <c r="Q4" s="19">
        <f>COUNTIF($K$36:$K$146,"OK")+COUNTIF($K$36:$K$146,"OK But")</f>
        <v>17</v>
      </c>
      <c r="R4" s="64" t="s">
        <v>10</v>
      </c>
    </row>
    <row r="5" spans="2:18" ht="22.95" customHeight="1">
      <c r="B5"/>
      <c r="C5" s="144" t="s">
        <v>73</v>
      </c>
      <c r="D5" s="145"/>
      <c r="E5" s="146"/>
      <c r="F5" s="140" t="s">
        <v>209</v>
      </c>
      <c r="G5" s="141"/>
      <c r="H5" s="142"/>
      <c r="I5" s="229"/>
      <c r="J5" s="229"/>
      <c r="K5" s="143"/>
      <c r="N5" s="163"/>
      <c r="O5" s="165"/>
      <c r="P5" s="42" t="s">
        <v>12</v>
      </c>
      <c r="Q5" s="43">
        <f>COUNTIF($K$36:$K$146,"NG")</f>
        <v>0</v>
      </c>
      <c r="R5" s="65" t="s">
        <v>14</v>
      </c>
    </row>
    <row r="6" spans="2:18" ht="22.95" customHeight="1">
      <c r="B6"/>
      <c r="C6" s="137" t="s">
        <v>78</v>
      </c>
      <c r="D6" s="138"/>
      <c r="E6" s="139"/>
      <c r="F6" s="140" t="s">
        <v>154</v>
      </c>
      <c r="G6" s="141"/>
      <c r="H6" s="142"/>
      <c r="I6" s="229"/>
      <c r="J6" s="229"/>
      <c r="K6" s="143"/>
      <c r="P6"/>
      <c r="R6"/>
    </row>
    <row r="7" spans="2:18" ht="22.95" customHeight="1">
      <c r="B7"/>
      <c r="C7" s="144" t="s">
        <v>74</v>
      </c>
      <c r="D7" s="145"/>
      <c r="E7" s="146"/>
      <c r="F7" s="147" t="s">
        <v>163</v>
      </c>
      <c r="G7" s="148"/>
      <c r="H7" s="148"/>
      <c r="I7" s="230"/>
      <c r="J7" s="230"/>
      <c r="K7" s="149"/>
      <c r="N7" s="150" t="s">
        <v>97</v>
      </c>
      <c r="O7" s="151"/>
      <c r="P7" s="151"/>
      <c r="Q7" s="151"/>
      <c r="R7" s="152"/>
    </row>
    <row r="8" spans="2:18" ht="22.95" customHeight="1">
      <c r="B8"/>
      <c r="C8" s="153" t="s">
        <v>21</v>
      </c>
      <c r="D8" s="154"/>
      <c r="E8" s="154"/>
      <c r="F8" s="154"/>
      <c r="G8" s="154"/>
      <c r="H8" s="154"/>
      <c r="I8" s="154"/>
      <c r="J8" s="154"/>
      <c r="K8" s="155"/>
      <c r="N8" s="136" t="s">
        <v>444</v>
      </c>
      <c r="O8" s="136"/>
      <c r="P8" s="136"/>
      <c r="Q8" s="136"/>
      <c r="R8" s="136"/>
    </row>
    <row r="9" spans="2:18" ht="22.95" customHeight="1">
      <c r="B9"/>
      <c r="C9" s="156" t="s">
        <v>31</v>
      </c>
      <c r="D9" s="157"/>
      <c r="E9" s="158"/>
      <c r="F9" s="44" t="s">
        <v>107</v>
      </c>
      <c r="G9" s="159" t="s">
        <v>108</v>
      </c>
      <c r="H9" s="157"/>
      <c r="I9" s="157"/>
      <c r="J9" s="157"/>
      <c r="K9" s="160"/>
      <c r="N9" s="136"/>
      <c r="O9" s="136"/>
      <c r="P9" s="136"/>
      <c r="Q9" s="136"/>
      <c r="R9" s="136"/>
    </row>
    <row r="10" spans="2:18" ht="23.1" customHeight="1">
      <c r="B10"/>
      <c r="C10" s="130" t="s">
        <v>32</v>
      </c>
      <c r="D10" s="130"/>
      <c r="E10" s="130"/>
      <c r="F10" s="85" t="s">
        <v>156</v>
      </c>
      <c r="G10" s="128" t="s">
        <v>161</v>
      </c>
      <c r="H10" s="128"/>
      <c r="I10" s="128"/>
      <c r="J10" s="128"/>
      <c r="K10" s="128"/>
      <c r="N10" s="136"/>
      <c r="O10" s="136"/>
      <c r="P10" s="136"/>
      <c r="Q10" s="136"/>
      <c r="R10" s="136"/>
    </row>
    <row r="11" spans="2:18" ht="23.1" customHeight="1">
      <c r="B11"/>
      <c r="C11" s="130" t="s">
        <v>130</v>
      </c>
      <c r="D11" s="130"/>
      <c r="E11" s="130"/>
      <c r="F11" s="87" t="s">
        <v>169</v>
      </c>
      <c r="G11" s="129" t="s">
        <v>162</v>
      </c>
      <c r="H11" s="129"/>
      <c r="I11" s="129"/>
      <c r="J11" s="129"/>
      <c r="K11" s="129"/>
      <c r="N11" s="136"/>
      <c r="O11" s="136"/>
      <c r="P11" s="136"/>
      <c r="Q11" s="136"/>
      <c r="R11" s="136"/>
    </row>
    <row r="12" spans="2:18" ht="23.1" customHeight="1">
      <c r="B12"/>
      <c r="C12" s="130"/>
      <c r="D12" s="130"/>
      <c r="E12" s="130"/>
      <c r="F12" s="85" t="s">
        <v>216</v>
      </c>
      <c r="G12" s="128" t="s">
        <v>217</v>
      </c>
      <c r="H12" s="128"/>
      <c r="I12" s="128"/>
      <c r="J12" s="128"/>
      <c r="K12" s="128"/>
      <c r="N12" s="136"/>
      <c r="O12" s="136"/>
      <c r="P12" s="136"/>
      <c r="Q12" s="136"/>
      <c r="R12" s="136"/>
    </row>
    <row r="13" spans="2:18" ht="23.1" customHeight="1">
      <c r="B13"/>
      <c r="C13" s="130"/>
      <c r="D13" s="130"/>
      <c r="E13" s="130"/>
      <c r="F13" s="85" t="s">
        <v>164</v>
      </c>
      <c r="G13" s="128" t="s">
        <v>165</v>
      </c>
      <c r="H13" s="128"/>
      <c r="I13" s="128"/>
      <c r="J13" s="128"/>
      <c r="K13" s="128"/>
      <c r="N13" s="136"/>
      <c r="O13" s="136"/>
      <c r="P13" s="136"/>
      <c r="Q13" s="136"/>
      <c r="R13" s="136"/>
    </row>
    <row r="14" spans="2:18" ht="23.1" customHeight="1">
      <c r="B14"/>
      <c r="C14" s="130"/>
      <c r="D14" s="130"/>
      <c r="E14" s="130"/>
      <c r="F14" s="87" t="s">
        <v>166</v>
      </c>
      <c r="G14" s="129" t="s">
        <v>167</v>
      </c>
      <c r="H14" s="129"/>
      <c r="I14" s="129"/>
      <c r="J14" s="129"/>
      <c r="K14" s="129"/>
      <c r="N14" s="136"/>
      <c r="O14" s="136"/>
      <c r="P14" s="136"/>
      <c r="Q14" s="136"/>
      <c r="R14" s="136"/>
    </row>
    <row r="15" spans="2:18" ht="23.1" customHeight="1">
      <c r="B15"/>
      <c r="C15" s="130"/>
      <c r="D15" s="130"/>
      <c r="E15" s="130"/>
      <c r="F15" s="87" t="s">
        <v>170</v>
      </c>
      <c r="G15" s="129" t="s">
        <v>171</v>
      </c>
      <c r="H15" s="129"/>
      <c r="I15" s="129"/>
      <c r="J15" s="129"/>
      <c r="K15" s="129"/>
      <c r="N15" s="136"/>
      <c r="O15" s="136"/>
      <c r="P15" s="136"/>
      <c r="Q15" s="136"/>
      <c r="R15" s="136"/>
    </row>
    <row r="16" spans="2:18" ht="23.1" customHeight="1">
      <c r="B16"/>
      <c r="C16" s="130"/>
      <c r="D16" s="130"/>
      <c r="E16" s="130"/>
      <c r="F16" s="87" t="s">
        <v>110</v>
      </c>
      <c r="G16" s="129" t="s">
        <v>168</v>
      </c>
      <c r="H16" s="129"/>
      <c r="I16" s="129"/>
      <c r="J16" s="129"/>
      <c r="K16" s="129"/>
      <c r="N16" s="136"/>
      <c r="O16" s="136"/>
      <c r="P16" s="136"/>
      <c r="Q16" s="136"/>
      <c r="R16" s="136"/>
    </row>
    <row r="17" spans="1:18" ht="23.1" customHeight="1">
      <c r="B17"/>
      <c r="C17" s="130"/>
      <c r="D17" s="130"/>
      <c r="E17" s="130"/>
      <c r="F17" s="87" t="s">
        <v>169</v>
      </c>
      <c r="G17" s="129" t="s">
        <v>162</v>
      </c>
      <c r="H17" s="129"/>
      <c r="I17" s="129"/>
      <c r="J17" s="129"/>
      <c r="K17" s="129"/>
      <c r="N17" s="136"/>
      <c r="O17" s="136"/>
      <c r="P17" s="136"/>
      <c r="Q17" s="136"/>
      <c r="R17" s="136"/>
    </row>
    <row r="18" spans="1:18" ht="23.1" customHeight="1">
      <c r="B18"/>
      <c r="C18" s="130"/>
      <c r="D18" s="130"/>
      <c r="E18" s="130"/>
      <c r="F18" s="87" t="s">
        <v>111</v>
      </c>
      <c r="G18" s="129" t="s">
        <v>211</v>
      </c>
      <c r="H18" s="129"/>
      <c r="I18" s="129"/>
      <c r="J18" s="129"/>
      <c r="K18" s="129"/>
      <c r="N18" s="136"/>
      <c r="O18" s="136"/>
      <c r="P18" s="136"/>
      <c r="Q18" s="136"/>
      <c r="R18" s="136"/>
    </row>
    <row r="19" spans="1:18" ht="23.1" customHeight="1">
      <c r="B19"/>
      <c r="C19" s="130" t="s">
        <v>33</v>
      </c>
      <c r="D19" s="130"/>
      <c r="E19" s="130"/>
      <c r="F19" s="87"/>
      <c r="G19" s="129"/>
      <c r="H19" s="129"/>
      <c r="I19" s="129"/>
      <c r="J19" s="129"/>
      <c r="K19" s="129"/>
      <c r="N19" s="136"/>
      <c r="O19" s="136"/>
      <c r="P19" s="136"/>
      <c r="Q19" s="136"/>
      <c r="R19" s="136"/>
    </row>
    <row r="20" spans="1:18" ht="23.1" customHeight="1">
      <c r="B20"/>
      <c r="C20" s="130" t="s">
        <v>34</v>
      </c>
      <c r="D20" s="130"/>
      <c r="E20" s="130"/>
      <c r="F20" s="87" t="s">
        <v>164</v>
      </c>
      <c r="G20" s="129" t="s">
        <v>165</v>
      </c>
      <c r="H20" s="129"/>
      <c r="I20" s="129"/>
      <c r="J20" s="129"/>
      <c r="K20" s="129"/>
      <c r="N20" s="136"/>
      <c r="O20" s="136"/>
      <c r="P20" s="136"/>
      <c r="Q20" s="136"/>
      <c r="R20" s="136"/>
    </row>
    <row r="21" spans="1:18" ht="23.1" customHeight="1">
      <c r="B21"/>
      <c r="C21" s="130" t="s">
        <v>35</v>
      </c>
      <c r="D21" s="130"/>
      <c r="E21" s="130"/>
      <c r="F21" s="87" t="s">
        <v>216</v>
      </c>
      <c r="G21" s="129" t="s">
        <v>217</v>
      </c>
      <c r="H21" s="129"/>
      <c r="I21" s="129"/>
      <c r="J21" s="129"/>
      <c r="K21" s="129"/>
      <c r="N21" s="136"/>
      <c r="O21" s="136"/>
      <c r="P21" s="136"/>
      <c r="Q21" s="136"/>
      <c r="R21" s="136"/>
    </row>
    <row r="22" spans="1:18" s="12" customFormat="1" ht="26.25" customHeight="1">
      <c r="A22"/>
      <c r="B22"/>
      <c r="C22" s="130" t="s">
        <v>109</v>
      </c>
      <c r="D22" s="130"/>
      <c r="E22" s="130"/>
      <c r="F22" s="87"/>
      <c r="G22" s="129"/>
      <c r="H22" s="129"/>
      <c r="I22" s="129"/>
      <c r="J22" s="129"/>
      <c r="K22" s="129"/>
      <c r="L22" s="29"/>
      <c r="M22"/>
      <c r="N22" s="136"/>
      <c r="O22" s="136"/>
      <c r="P22" s="136"/>
      <c r="Q22" s="136"/>
      <c r="R22" s="136"/>
    </row>
    <row r="23" spans="1:18" s="12" customFormat="1" ht="18.75" customHeight="1">
      <c r="A23"/>
      <c r="B23"/>
      <c r="C23"/>
      <c r="D23"/>
      <c r="E23"/>
      <c r="F23"/>
      <c r="G23"/>
      <c r="H23"/>
      <c r="I23"/>
      <c r="J23"/>
      <c r="K23"/>
      <c r="L23" s="29"/>
      <c r="M23"/>
      <c r="N23" s="88"/>
      <c r="O23" s="88"/>
      <c r="P23" s="88"/>
      <c r="Q23" s="88"/>
      <c r="R23" s="88"/>
    </row>
    <row r="24" spans="1:18" s="12" customFormat="1" ht="18.75" customHeight="1">
      <c r="A24"/>
      <c r="B24"/>
      <c r="C24"/>
      <c r="D24"/>
      <c r="E24"/>
      <c r="F24"/>
      <c r="G24"/>
      <c r="H24"/>
      <c r="I24"/>
      <c r="J24"/>
      <c r="K24"/>
      <c r="L24" s="29"/>
      <c r="M24"/>
      <c r="N24" s="88"/>
      <c r="O24" s="88"/>
      <c r="P24" s="88"/>
      <c r="Q24" s="88"/>
      <c r="R24" s="88"/>
    </row>
    <row r="25" spans="1:18" ht="24" customHeight="1">
      <c r="B25"/>
      <c r="C25" s="126" t="s">
        <v>116</v>
      </c>
      <c r="D25" s="127"/>
      <c r="E25" s="127"/>
      <c r="F25" s="127"/>
      <c r="G25" s="127"/>
      <c r="H25"/>
      <c r="I25"/>
      <c r="J25"/>
      <c r="L25" s="29"/>
      <c r="P25"/>
      <c r="Q25" s="12"/>
      <c r="R25"/>
    </row>
    <row r="26" spans="1:18" ht="24" customHeight="1">
      <c r="B26"/>
      <c r="C26" s="122" t="s">
        <v>117</v>
      </c>
      <c r="D26" s="123"/>
      <c r="E26" s="123"/>
      <c r="F26" s="123"/>
      <c r="G26" s="44" t="s">
        <v>118</v>
      </c>
      <c r="H26"/>
      <c r="I26"/>
      <c r="J26"/>
      <c r="L26" s="29"/>
      <c r="P26"/>
      <c r="Q26" s="12"/>
      <c r="R26"/>
    </row>
    <row r="27" spans="1:18" ht="24" customHeight="1">
      <c r="B27"/>
      <c r="C27" s="124" t="s">
        <v>157</v>
      </c>
      <c r="D27" s="125"/>
      <c r="E27" s="125"/>
      <c r="F27" s="125"/>
      <c r="G27" s="81" t="s">
        <v>215</v>
      </c>
      <c r="H27"/>
      <c r="I27"/>
      <c r="J27"/>
      <c r="L27" s="29"/>
      <c r="P27"/>
      <c r="Q27" s="12"/>
      <c r="R27"/>
    </row>
    <row r="28" spans="1:18" ht="24" customHeight="1">
      <c r="B28"/>
      <c r="C28" s="124" t="s">
        <v>158</v>
      </c>
      <c r="D28" s="125"/>
      <c r="E28" s="125"/>
      <c r="F28" s="125"/>
      <c r="G28" s="81" t="s">
        <v>242</v>
      </c>
      <c r="H28"/>
      <c r="I28"/>
      <c r="J28"/>
      <c r="L28" s="29"/>
      <c r="P28"/>
      <c r="Q28" s="12"/>
      <c r="R28"/>
    </row>
    <row r="29" spans="1:18" ht="24" customHeight="1">
      <c r="B29"/>
      <c r="C29" s="124" t="s">
        <v>159</v>
      </c>
      <c r="D29" s="125"/>
      <c r="E29" s="125"/>
      <c r="F29" s="125"/>
      <c r="G29" s="81" t="s">
        <v>242</v>
      </c>
      <c r="H29"/>
      <c r="I29"/>
      <c r="J29"/>
      <c r="L29" s="29"/>
      <c r="P29"/>
      <c r="Q29" s="12"/>
      <c r="R29"/>
    </row>
    <row r="30" spans="1:18" ht="24" customHeight="1">
      <c r="B30"/>
      <c r="C30" s="124" t="s">
        <v>160</v>
      </c>
      <c r="D30" s="125"/>
      <c r="E30" s="125"/>
      <c r="F30" s="125"/>
      <c r="G30" s="81" t="s">
        <v>212</v>
      </c>
      <c r="H30"/>
      <c r="I30"/>
      <c r="J30"/>
      <c r="L30" s="29"/>
      <c r="P30"/>
      <c r="Q30" s="12"/>
      <c r="R30"/>
    </row>
    <row r="31" spans="1:18" ht="24" customHeight="1">
      <c r="B31"/>
      <c r="C31" s="124" t="s">
        <v>214</v>
      </c>
      <c r="D31" s="125"/>
      <c r="E31" s="125"/>
      <c r="F31" s="125"/>
      <c r="G31" s="81" t="s">
        <v>212</v>
      </c>
      <c r="H31"/>
      <c r="I31"/>
      <c r="J31"/>
      <c r="L31" s="29"/>
      <c r="P31"/>
      <c r="Q31" s="12"/>
      <c r="R31"/>
    </row>
    <row r="32" spans="1:18" ht="21" customHeight="1">
      <c r="B32" s="38"/>
      <c r="C32" s="2" t="s">
        <v>119</v>
      </c>
      <c r="D32" s="38"/>
      <c r="E32" s="39"/>
      <c r="F32" s="37"/>
      <c r="G32" s="37"/>
      <c r="H32" s="37"/>
      <c r="I32" s="37"/>
      <c r="J32" s="37"/>
      <c r="K32" s="26"/>
      <c r="L32" s="26"/>
      <c r="M32" s="26"/>
      <c r="N32" s="26"/>
      <c r="O32" s="26"/>
      <c r="P32" s="26"/>
      <c r="Q32" s="26"/>
      <c r="R32" s="27"/>
    </row>
    <row r="33" spans="1:18" s="12" customFormat="1" ht="12.15" customHeight="1">
      <c r="A33"/>
      <c r="B33" s="38"/>
      <c r="C33" s="38"/>
      <c r="D33" s="38"/>
      <c r="E33" s="39"/>
      <c r="F33" s="37"/>
      <c r="G33" s="37"/>
      <c r="H33" s="37"/>
      <c r="I33" s="37"/>
      <c r="J33" s="37"/>
      <c r="K33" s="26"/>
      <c r="L33" s="26"/>
      <c r="M33" s="26"/>
      <c r="N33" s="26"/>
      <c r="O33" s="26"/>
      <c r="P33" s="26"/>
      <c r="Q33" s="26"/>
      <c r="R33" s="27"/>
    </row>
    <row r="34" spans="1:18" s="12" customFormat="1" ht="12.15" customHeight="1">
      <c r="A34"/>
      <c r="B34" s="2"/>
      <c r="C34"/>
      <c r="D34"/>
      <c r="E34" s="1"/>
      <c r="F34"/>
      <c r="G34" s="1"/>
      <c r="H34" s="1"/>
      <c r="I34" s="1"/>
      <c r="J34" s="1"/>
      <c r="K34"/>
      <c r="L34"/>
      <c r="M34"/>
      <c r="N34"/>
      <c r="O34"/>
      <c r="Q34"/>
      <c r="R34" s="1"/>
    </row>
    <row r="35" spans="1:18" s="12" customFormat="1">
      <c r="A35"/>
      <c r="B35" s="21" t="s">
        <v>13</v>
      </c>
      <c r="C35" s="131" t="s">
        <v>22</v>
      </c>
      <c r="D35" s="132"/>
      <c r="E35" s="132"/>
      <c r="F35" s="132"/>
      <c r="G35" s="132"/>
      <c r="H35" s="133"/>
      <c r="I35" s="28" t="s">
        <v>446</v>
      </c>
      <c r="J35" s="28" t="s">
        <v>445</v>
      </c>
      <c r="K35" s="28" t="s">
        <v>28</v>
      </c>
      <c r="L35" s="134" t="s">
        <v>23</v>
      </c>
      <c r="M35" s="135"/>
      <c r="N35" s="135"/>
      <c r="O35" s="135"/>
      <c r="P35" s="135"/>
      <c r="Q35" s="135"/>
      <c r="R35" s="135"/>
    </row>
    <row r="36" spans="1:18" s="12" customFormat="1" ht="65.25" customHeight="1">
      <c r="A36"/>
      <c r="B36" s="74">
        <v>1</v>
      </c>
      <c r="C36" s="102" t="s">
        <v>148</v>
      </c>
      <c r="D36" s="120"/>
      <c r="E36" s="120"/>
      <c r="F36" s="120"/>
      <c r="G36" s="120"/>
      <c r="H36" s="121"/>
      <c r="I36" s="231" t="s">
        <v>447</v>
      </c>
      <c r="J36" s="232" t="s">
        <v>448</v>
      </c>
      <c r="K36" s="3" t="s">
        <v>236</v>
      </c>
      <c r="L36" s="95" t="s">
        <v>238</v>
      </c>
      <c r="M36" s="96"/>
      <c r="N36" s="96"/>
      <c r="O36" s="96"/>
      <c r="P36" s="96"/>
      <c r="Q36" s="96"/>
      <c r="R36" s="96"/>
    </row>
    <row r="37" spans="1:18" s="12" customFormat="1" ht="65.25" customHeight="1">
      <c r="A37"/>
      <c r="B37" s="74">
        <v>2</v>
      </c>
      <c r="C37" s="117" t="s">
        <v>132</v>
      </c>
      <c r="D37" s="117"/>
      <c r="E37" s="117"/>
      <c r="F37" s="117"/>
      <c r="G37" s="117"/>
      <c r="H37" s="117"/>
      <c r="I37" s="231" t="s">
        <v>449</v>
      </c>
      <c r="J37" s="232" t="s">
        <v>450</v>
      </c>
      <c r="K37" s="3" t="s">
        <v>236</v>
      </c>
      <c r="L37" s="95" t="s">
        <v>238</v>
      </c>
      <c r="M37" s="96"/>
      <c r="N37" s="96"/>
      <c r="O37" s="96"/>
      <c r="P37" s="96"/>
      <c r="Q37" s="96"/>
      <c r="R37" s="96"/>
    </row>
    <row r="38" spans="1:18" s="12" customFormat="1" ht="65.25" customHeight="1">
      <c r="B38" s="74">
        <v>3</v>
      </c>
      <c r="C38" s="92" t="s">
        <v>172</v>
      </c>
      <c r="D38" s="103"/>
      <c r="E38" s="103"/>
      <c r="F38" s="103"/>
      <c r="G38" s="115"/>
      <c r="H38" s="116"/>
      <c r="I38" s="231" t="s">
        <v>449</v>
      </c>
      <c r="J38" s="232" t="s">
        <v>451</v>
      </c>
      <c r="K38" s="3" t="s">
        <v>236</v>
      </c>
      <c r="L38" s="95" t="s">
        <v>238</v>
      </c>
      <c r="M38" s="96"/>
      <c r="N38" s="96"/>
      <c r="O38" s="96"/>
      <c r="P38" s="96"/>
      <c r="Q38" s="96"/>
      <c r="R38" s="96"/>
    </row>
    <row r="39" spans="1:18" s="12" customFormat="1" ht="90.75" customHeight="1">
      <c r="B39" s="74">
        <v>4</v>
      </c>
      <c r="C39" s="102" t="s">
        <v>133</v>
      </c>
      <c r="D39" s="103"/>
      <c r="E39" s="103"/>
      <c r="F39" s="103"/>
      <c r="G39" s="103"/>
      <c r="H39" s="104"/>
      <c r="I39" s="231" t="s">
        <v>452</v>
      </c>
      <c r="J39" s="232" t="s">
        <v>453</v>
      </c>
      <c r="K39" s="3" t="s">
        <v>210</v>
      </c>
      <c r="L39" s="95" t="s">
        <v>239</v>
      </c>
      <c r="M39" s="96"/>
      <c r="N39" s="96"/>
      <c r="O39" s="96"/>
      <c r="P39" s="96"/>
      <c r="Q39" s="96"/>
      <c r="R39" s="96"/>
    </row>
    <row r="40" spans="1:18" s="12" customFormat="1" ht="95.25" customHeight="1">
      <c r="B40" s="74">
        <v>5</v>
      </c>
      <c r="C40" s="117" t="s">
        <v>218</v>
      </c>
      <c r="D40" s="113"/>
      <c r="E40" s="113"/>
      <c r="F40" s="113"/>
      <c r="G40" s="118"/>
      <c r="H40" s="119"/>
      <c r="I40" s="231" t="s">
        <v>449</v>
      </c>
      <c r="J40" s="232" t="s">
        <v>454</v>
      </c>
      <c r="K40" s="3" t="s">
        <v>236</v>
      </c>
      <c r="L40" s="95" t="s">
        <v>238</v>
      </c>
      <c r="M40" s="96"/>
      <c r="N40" s="96"/>
      <c r="O40" s="96"/>
      <c r="P40" s="96"/>
      <c r="Q40" s="96"/>
      <c r="R40" s="96"/>
    </row>
    <row r="41" spans="1:18" s="12" customFormat="1" ht="87" customHeight="1">
      <c r="B41" s="74">
        <v>6</v>
      </c>
      <c r="C41" s="92" t="s">
        <v>219</v>
      </c>
      <c r="D41" s="103"/>
      <c r="E41" s="103"/>
      <c r="F41" s="103"/>
      <c r="G41" s="115"/>
      <c r="H41" s="116"/>
      <c r="I41" s="231" t="s">
        <v>449</v>
      </c>
      <c r="J41" s="232" t="s">
        <v>455</v>
      </c>
      <c r="K41" s="3" t="s">
        <v>236</v>
      </c>
      <c r="L41" s="95" t="s">
        <v>238</v>
      </c>
      <c r="M41" s="96"/>
      <c r="N41" s="96"/>
      <c r="O41" s="96"/>
      <c r="P41" s="96"/>
      <c r="Q41" s="96"/>
      <c r="R41" s="96"/>
    </row>
    <row r="42" spans="1:18" s="12" customFormat="1" ht="87" customHeight="1">
      <c r="B42" s="74">
        <v>7</v>
      </c>
      <c r="C42" s="102" t="s">
        <v>139</v>
      </c>
      <c r="D42" s="103"/>
      <c r="E42" s="103"/>
      <c r="F42" s="103"/>
      <c r="G42" s="103"/>
      <c r="H42" s="104"/>
      <c r="I42" s="231" t="s">
        <v>449</v>
      </c>
      <c r="J42" s="232" t="s">
        <v>455</v>
      </c>
      <c r="K42" s="3" t="s">
        <v>236</v>
      </c>
      <c r="L42" s="95" t="s">
        <v>238</v>
      </c>
      <c r="M42" s="96"/>
      <c r="N42" s="96"/>
      <c r="O42" s="96"/>
      <c r="P42" s="96"/>
      <c r="Q42" s="96"/>
      <c r="R42" s="96"/>
    </row>
    <row r="43" spans="1:18" s="12" customFormat="1" ht="87" customHeight="1">
      <c r="B43" s="74">
        <v>8</v>
      </c>
      <c r="C43" s="102" t="s">
        <v>140</v>
      </c>
      <c r="D43" s="103"/>
      <c r="E43" s="103"/>
      <c r="F43" s="103"/>
      <c r="G43" s="103"/>
      <c r="H43" s="104"/>
      <c r="I43" s="231" t="s">
        <v>449</v>
      </c>
      <c r="J43" s="232" t="s">
        <v>456</v>
      </c>
      <c r="K43" s="3" t="s">
        <v>236</v>
      </c>
      <c r="L43" s="95" t="s">
        <v>238</v>
      </c>
      <c r="M43" s="96"/>
      <c r="N43" s="96"/>
      <c r="O43" s="96"/>
      <c r="P43" s="96"/>
      <c r="Q43" s="96"/>
      <c r="R43" s="96"/>
    </row>
    <row r="44" spans="1:18" s="12" customFormat="1" ht="87" customHeight="1">
      <c r="B44" s="74">
        <v>9</v>
      </c>
      <c r="C44" s="92" t="s">
        <v>120</v>
      </c>
      <c r="D44" s="93"/>
      <c r="E44" s="93"/>
      <c r="F44" s="93"/>
      <c r="G44" s="93"/>
      <c r="H44" s="94"/>
      <c r="I44" s="231" t="s">
        <v>447</v>
      </c>
      <c r="J44" s="232" t="s">
        <v>457</v>
      </c>
      <c r="K44" s="3" t="s">
        <v>236</v>
      </c>
      <c r="L44" s="95" t="s">
        <v>238</v>
      </c>
      <c r="M44" s="96"/>
      <c r="N44" s="96"/>
      <c r="O44" s="96"/>
      <c r="P44" s="96"/>
      <c r="Q44" s="96"/>
      <c r="R44" s="96"/>
    </row>
    <row r="45" spans="1:18" s="12" customFormat="1" ht="87" customHeight="1">
      <c r="B45" s="74">
        <v>10</v>
      </c>
      <c r="C45" s="92" t="s">
        <v>220</v>
      </c>
      <c r="D45" s="103"/>
      <c r="E45" s="103"/>
      <c r="F45" s="103"/>
      <c r="G45" s="103"/>
      <c r="H45" s="104"/>
      <c r="I45" s="231" t="s">
        <v>449</v>
      </c>
      <c r="J45" s="232" t="s">
        <v>458</v>
      </c>
      <c r="K45" s="3" t="s">
        <v>236</v>
      </c>
      <c r="L45" s="95" t="s">
        <v>238</v>
      </c>
      <c r="M45" s="96"/>
      <c r="N45" s="96"/>
      <c r="O45" s="96"/>
      <c r="P45" s="96"/>
      <c r="Q45" s="96"/>
      <c r="R45" s="96"/>
    </row>
    <row r="46" spans="1:18" s="12" customFormat="1" ht="87" customHeight="1">
      <c r="B46" s="74">
        <v>11</v>
      </c>
      <c r="C46" s="92" t="s">
        <v>221</v>
      </c>
      <c r="D46" s="103"/>
      <c r="E46" s="103"/>
      <c r="F46" s="103"/>
      <c r="G46" s="103"/>
      <c r="H46" s="104"/>
      <c r="I46" s="231" t="s">
        <v>460</v>
      </c>
      <c r="J46" s="232" t="s">
        <v>459</v>
      </c>
      <c r="K46" s="3" t="s">
        <v>236</v>
      </c>
      <c r="L46" s="95" t="s">
        <v>238</v>
      </c>
      <c r="M46" s="96"/>
      <c r="N46" s="96"/>
      <c r="O46" s="96"/>
      <c r="P46" s="96"/>
      <c r="Q46" s="96"/>
      <c r="R46" s="96"/>
    </row>
    <row r="47" spans="1:18" s="12" customFormat="1" ht="87" customHeight="1">
      <c r="B47" s="74">
        <v>12</v>
      </c>
      <c r="C47" s="112" t="s">
        <v>121</v>
      </c>
      <c r="D47" s="113"/>
      <c r="E47" s="113"/>
      <c r="F47" s="113"/>
      <c r="G47" s="113"/>
      <c r="H47" s="114"/>
      <c r="I47" s="231" t="s">
        <v>449</v>
      </c>
      <c r="J47" s="232" t="s">
        <v>455</v>
      </c>
      <c r="K47" s="3" t="s">
        <v>236</v>
      </c>
      <c r="L47" s="95" t="s">
        <v>238</v>
      </c>
      <c r="M47" s="96"/>
      <c r="N47" s="96"/>
      <c r="O47" s="96"/>
      <c r="P47" s="96"/>
      <c r="Q47" s="96"/>
      <c r="R47" s="96"/>
    </row>
    <row r="48" spans="1:18" ht="127.5" customHeight="1">
      <c r="A48" s="12"/>
      <c r="B48" s="74">
        <v>13</v>
      </c>
      <c r="C48" s="97" t="s">
        <v>222</v>
      </c>
      <c r="D48" s="98"/>
      <c r="E48" s="98"/>
      <c r="F48" s="98"/>
      <c r="G48" s="100"/>
      <c r="H48" s="101"/>
      <c r="I48" s="231" t="s">
        <v>449</v>
      </c>
      <c r="J48" s="232" t="s">
        <v>461</v>
      </c>
      <c r="K48" s="3" t="s">
        <v>236</v>
      </c>
      <c r="L48" s="95" t="s">
        <v>238</v>
      </c>
      <c r="M48" s="96"/>
      <c r="N48" s="96"/>
      <c r="O48" s="96"/>
      <c r="P48" s="96"/>
      <c r="Q48" s="96"/>
      <c r="R48" s="96"/>
    </row>
    <row r="49" spans="1:18" ht="87" customHeight="1">
      <c r="A49" s="12"/>
      <c r="B49" s="74">
        <v>14</v>
      </c>
      <c r="C49" s="97" t="s">
        <v>173</v>
      </c>
      <c r="D49" s="98"/>
      <c r="E49" s="98"/>
      <c r="F49" s="98"/>
      <c r="G49" s="100"/>
      <c r="H49" s="101"/>
      <c r="I49" s="231" t="s">
        <v>449</v>
      </c>
      <c r="J49" s="232" t="s">
        <v>462</v>
      </c>
      <c r="K49" s="3" t="s">
        <v>236</v>
      </c>
      <c r="L49" s="95" t="s">
        <v>238</v>
      </c>
      <c r="M49" s="96"/>
      <c r="N49" s="96"/>
      <c r="O49" s="96"/>
      <c r="P49" s="96"/>
      <c r="Q49" s="96"/>
      <c r="R49" s="96"/>
    </row>
    <row r="50" spans="1:18" s="12" customFormat="1" ht="114.75" customHeight="1">
      <c r="B50" s="74">
        <v>15</v>
      </c>
      <c r="C50" s="102" t="s">
        <v>174</v>
      </c>
      <c r="D50" s="103"/>
      <c r="E50" s="103"/>
      <c r="F50" s="103"/>
      <c r="G50" s="103"/>
      <c r="H50" s="104"/>
      <c r="I50" s="231" t="s">
        <v>449</v>
      </c>
      <c r="J50" s="232" t="s">
        <v>463</v>
      </c>
      <c r="K50" s="3" t="s">
        <v>236</v>
      </c>
      <c r="L50" s="95" t="s">
        <v>238</v>
      </c>
      <c r="M50" s="96"/>
      <c r="N50" s="96"/>
      <c r="O50" s="96"/>
      <c r="P50" s="96"/>
      <c r="Q50" s="96"/>
      <c r="R50" s="96"/>
    </row>
    <row r="51" spans="1:18" s="12" customFormat="1" ht="80.25" customHeight="1">
      <c r="B51" s="74">
        <v>16</v>
      </c>
      <c r="C51" s="102" t="s">
        <v>175</v>
      </c>
      <c r="D51" s="103"/>
      <c r="E51" s="103"/>
      <c r="F51" s="103"/>
      <c r="G51" s="103"/>
      <c r="H51" s="104"/>
      <c r="I51" s="231" t="s">
        <v>449</v>
      </c>
      <c r="J51" s="232" t="s">
        <v>461</v>
      </c>
      <c r="K51" s="3" t="s">
        <v>236</v>
      </c>
      <c r="L51" s="95" t="s">
        <v>238</v>
      </c>
      <c r="M51" s="96"/>
      <c r="N51" s="96"/>
      <c r="O51" s="96"/>
      <c r="P51" s="96"/>
      <c r="Q51" s="96"/>
      <c r="R51" s="96"/>
    </row>
    <row r="52" spans="1:18" ht="94.5" customHeight="1">
      <c r="A52" s="12"/>
      <c r="B52" s="74">
        <v>17</v>
      </c>
      <c r="C52" s="102" t="s">
        <v>141</v>
      </c>
      <c r="D52" s="103"/>
      <c r="E52" s="103"/>
      <c r="F52" s="103"/>
      <c r="G52" s="103"/>
      <c r="H52" s="104"/>
      <c r="I52" s="231" t="s">
        <v>447</v>
      </c>
      <c r="J52" s="232" t="s">
        <v>464</v>
      </c>
      <c r="K52" s="3" t="s">
        <v>210</v>
      </c>
      <c r="L52" s="95" t="s">
        <v>440</v>
      </c>
      <c r="M52" s="96"/>
      <c r="N52" s="96"/>
      <c r="O52" s="96"/>
      <c r="P52" s="96"/>
      <c r="Q52" s="96"/>
      <c r="R52" s="96"/>
    </row>
    <row r="53" spans="1:18" s="12" customFormat="1" ht="87" customHeight="1">
      <c r="B53" s="74">
        <v>18</v>
      </c>
      <c r="C53" s="97" t="s">
        <v>223</v>
      </c>
      <c r="D53" s="98"/>
      <c r="E53" s="98"/>
      <c r="F53" s="98"/>
      <c r="G53" s="100"/>
      <c r="H53" s="101"/>
      <c r="I53" s="231" t="s">
        <v>447</v>
      </c>
      <c r="J53" s="232" t="s">
        <v>465</v>
      </c>
      <c r="K53" s="3" t="s">
        <v>236</v>
      </c>
      <c r="L53" s="95" t="s">
        <v>238</v>
      </c>
      <c r="M53" s="96"/>
      <c r="N53" s="96"/>
      <c r="O53" s="96"/>
      <c r="P53" s="96"/>
      <c r="Q53" s="96"/>
      <c r="R53" s="96"/>
    </row>
    <row r="54" spans="1:18" ht="127.5" customHeight="1">
      <c r="A54" s="12"/>
      <c r="B54" s="74">
        <v>19</v>
      </c>
      <c r="C54" s="102" t="s">
        <v>122</v>
      </c>
      <c r="D54" s="103"/>
      <c r="E54" s="103"/>
      <c r="F54" s="103"/>
      <c r="G54" s="103"/>
      <c r="H54" s="104"/>
      <c r="I54" s="231" t="s">
        <v>449</v>
      </c>
      <c r="J54" s="232" t="s">
        <v>455</v>
      </c>
      <c r="K54" s="3" t="s">
        <v>236</v>
      </c>
      <c r="L54" s="95" t="s">
        <v>238</v>
      </c>
      <c r="M54" s="96"/>
      <c r="N54" s="96"/>
      <c r="O54" s="96"/>
      <c r="P54" s="96"/>
      <c r="Q54" s="96"/>
      <c r="R54" s="96"/>
    </row>
    <row r="55" spans="1:18" ht="126" customHeight="1">
      <c r="A55" s="12"/>
      <c r="B55" s="74">
        <v>20</v>
      </c>
      <c r="C55" s="97" t="s">
        <v>224</v>
      </c>
      <c r="D55" s="98"/>
      <c r="E55" s="98"/>
      <c r="F55" s="98"/>
      <c r="G55" s="100"/>
      <c r="H55" s="101"/>
      <c r="I55" s="231" t="s">
        <v>460</v>
      </c>
      <c r="J55" s="232" t="s">
        <v>466</v>
      </c>
      <c r="K55" s="3" t="s">
        <v>236</v>
      </c>
      <c r="L55" s="95" t="s">
        <v>238</v>
      </c>
      <c r="M55" s="96"/>
      <c r="N55" s="96"/>
      <c r="O55" s="96"/>
      <c r="P55" s="96"/>
      <c r="Q55" s="96"/>
      <c r="R55" s="96"/>
    </row>
    <row r="56" spans="1:18" s="12" customFormat="1" ht="116.25" customHeight="1">
      <c r="B56" s="74">
        <v>21</v>
      </c>
      <c r="C56" s="97" t="s">
        <v>176</v>
      </c>
      <c r="D56" s="98"/>
      <c r="E56" s="98"/>
      <c r="F56" s="98"/>
      <c r="G56" s="100"/>
      <c r="H56" s="101"/>
      <c r="I56" s="231" t="s">
        <v>449</v>
      </c>
      <c r="J56" s="232" t="s">
        <v>462</v>
      </c>
      <c r="K56" s="3" t="s">
        <v>236</v>
      </c>
      <c r="L56" s="95" t="s">
        <v>238</v>
      </c>
      <c r="M56" s="96"/>
      <c r="N56" s="96"/>
      <c r="O56" s="96"/>
      <c r="P56" s="96"/>
      <c r="Q56" s="96"/>
      <c r="R56" s="96"/>
    </row>
    <row r="57" spans="1:18" s="12" customFormat="1" ht="115.5" customHeight="1">
      <c r="B57" s="74">
        <v>22</v>
      </c>
      <c r="C57" s="102" t="s">
        <v>177</v>
      </c>
      <c r="D57" s="103"/>
      <c r="E57" s="103"/>
      <c r="F57" s="103"/>
      <c r="G57" s="103"/>
      <c r="H57" s="104"/>
      <c r="I57" s="231" t="s">
        <v>460</v>
      </c>
      <c r="J57" s="232" t="s">
        <v>463</v>
      </c>
      <c r="K57" s="3" t="s">
        <v>236</v>
      </c>
      <c r="L57" s="95" t="s">
        <v>238</v>
      </c>
      <c r="M57" s="96"/>
      <c r="N57" s="96"/>
      <c r="O57" s="96"/>
      <c r="P57" s="96"/>
      <c r="Q57" s="96"/>
      <c r="R57" s="96"/>
    </row>
    <row r="58" spans="1:18" ht="96" customHeight="1">
      <c r="A58" s="12"/>
      <c r="B58" s="74">
        <v>23</v>
      </c>
      <c r="C58" s="102" t="s">
        <v>178</v>
      </c>
      <c r="D58" s="103"/>
      <c r="E58" s="103"/>
      <c r="F58" s="103"/>
      <c r="G58" s="103"/>
      <c r="H58" s="104"/>
      <c r="I58" s="231" t="s">
        <v>460</v>
      </c>
      <c r="J58" s="232" t="s">
        <v>463</v>
      </c>
      <c r="K58" s="3" t="s">
        <v>236</v>
      </c>
      <c r="L58" s="95" t="s">
        <v>238</v>
      </c>
      <c r="M58" s="96"/>
      <c r="N58" s="96"/>
      <c r="O58" s="96"/>
      <c r="P58" s="96"/>
      <c r="Q58" s="96"/>
      <c r="R58" s="96"/>
    </row>
    <row r="59" spans="1:18" s="12" customFormat="1" ht="87" customHeight="1">
      <c r="B59" s="74">
        <v>24</v>
      </c>
      <c r="C59" s="102" t="s">
        <v>142</v>
      </c>
      <c r="D59" s="103"/>
      <c r="E59" s="103"/>
      <c r="F59" s="103"/>
      <c r="G59" s="103"/>
      <c r="H59" s="104"/>
      <c r="I59" s="231" t="s">
        <v>447</v>
      </c>
      <c r="J59" s="232" t="s">
        <v>464</v>
      </c>
      <c r="K59" s="3" t="s">
        <v>210</v>
      </c>
      <c r="L59" s="95" t="s">
        <v>440</v>
      </c>
      <c r="M59" s="96"/>
      <c r="N59" s="96"/>
      <c r="O59" s="96"/>
      <c r="P59" s="96"/>
      <c r="Q59" s="96"/>
      <c r="R59" s="96"/>
    </row>
    <row r="60" spans="1:18" ht="127.5" customHeight="1">
      <c r="A60" s="12"/>
      <c r="B60" s="74">
        <v>25</v>
      </c>
      <c r="C60" s="97" t="s">
        <v>179</v>
      </c>
      <c r="D60" s="98"/>
      <c r="E60" s="98"/>
      <c r="F60" s="98"/>
      <c r="G60" s="100"/>
      <c r="H60" s="101"/>
      <c r="I60" s="231" t="s">
        <v>447</v>
      </c>
      <c r="J60" s="232" t="s">
        <v>465</v>
      </c>
      <c r="K60" s="3" t="s">
        <v>236</v>
      </c>
      <c r="L60" s="95" t="s">
        <v>238</v>
      </c>
      <c r="M60" s="96"/>
      <c r="N60" s="96"/>
      <c r="O60" s="96"/>
      <c r="P60" s="96"/>
      <c r="Q60" s="96"/>
      <c r="R60" s="96"/>
    </row>
    <row r="61" spans="1:18" ht="87" customHeight="1">
      <c r="A61" s="12"/>
      <c r="B61" s="74">
        <v>26</v>
      </c>
      <c r="C61" s="102" t="s">
        <v>123</v>
      </c>
      <c r="D61" s="103"/>
      <c r="E61" s="103"/>
      <c r="F61" s="103"/>
      <c r="G61" s="103"/>
      <c r="H61" s="104"/>
      <c r="I61" s="231" t="s">
        <v>449</v>
      </c>
      <c r="J61" s="232" t="s">
        <v>455</v>
      </c>
      <c r="K61" s="3" t="s">
        <v>236</v>
      </c>
      <c r="L61" s="95" t="s">
        <v>238</v>
      </c>
      <c r="M61" s="96"/>
      <c r="N61" s="96"/>
      <c r="O61" s="96"/>
      <c r="P61" s="96"/>
      <c r="Q61" s="96"/>
      <c r="R61" s="96"/>
    </row>
    <row r="62" spans="1:18" s="12" customFormat="1" ht="123" customHeight="1">
      <c r="B62" s="74">
        <v>27</v>
      </c>
      <c r="C62" s="97" t="s">
        <v>180</v>
      </c>
      <c r="D62" s="98"/>
      <c r="E62" s="98"/>
      <c r="F62" s="98"/>
      <c r="G62" s="100"/>
      <c r="H62" s="101"/>
      <c r="I62" s="231" t="s">
        <v>460</v>
      </c>
      <c r="J62" s="232" t="s">
        <v>467</v>
      </c>
      <c r="K62" s="3" t="s">
        <v>236</v>
      </c>
      <c r="L62" s="95" t="s">
        <v>238</v>
      </c>
      <c r="M62" s="96"/>
      <c r="N62" s="96"/>
      <c r="O62" s="96"/>
      <c r="P62" s="96"/>
      <c r="Q62" s="96"/>
      <c r="R62" s="96"/>
    </row>
    <row r="63" spans="1:18" s="12" customFormat="1" ht="94.5" customHeight="1">
      <c r="B63" s="74">
        <v>28</v>
      </c>
      <c r="C63" s="97" t="s">
        <v>181</v>
      </c>
      <c r="D63" s="98"/>
      <c r="E63" s="98"/>
      <c r="F63" s="98"/>
      <c r="G63" s="100"/>
      <c r="H63" s="101"/>
      <c r="I63" s="231" t="s">
        <v>449</v>
      </c>
      <c r="J63" s="232" t="s">
        <v>462</v>
      </c>
      <c r="K63" s="3" t="s">
        <v>236</v>
      </c>
      <c r="L63" s="95" t="s">
        <v>238</v>
      </c>
      <c r="M63" s="96"/>
      <c r="N63" s="96"/>
      <c r="O63" s="96"/>
      <c r="P63" s="96"/>
      <c r="Q63" s="96"/>
      <c r="R63" s="96"/>
    </row>
    <row r="64" spans="1:18" ht="95.25" customHeight="1">
      <c r="A64" s="12"/>
      <c r="B64" s="74">
        <v>29</v>
      </c>
      <c r="C64" s="102" t="s">
        <v>182</v>
      </c>
      <c r="D64" s="103"/>
      <c r="E64" s="103"/>
      <c r="F64" s="103"/>
      <c r="G64" s="103"/>
      <c r="H64" s="104"/>
      <c r="I64" s="231" t="s">
        <v>449</v>
      </c>
      <c r="J64" s="232" t="s">
        <v>463</v>
      </c>
      <c r="K64" s="3" t="s">
        <v>236</v>
      </c>
      <c r="L64" s="95" t="s">
        <v>238</v>
      </c>
      <c r="M64" s="96"/>
      <c r="N64" s="96"/>
      <c r="O64" s="96"/>
      <c r="P64" s="96"/>
      <c r="Q64" s="96"/>
      <c r="R64" s="96"/>
    </row>
    <row r="65" spans="1:18" s="12" customFormat="1" ht="87" customHeight="1">
      <c r="B65" s="74">
        <v>30</v>
      </c>
      <c r="C65" s="102" t="s">
        <v>183</v>
      </c>
      <c r="D65" s="103"/>
      <c r="E65" s="103"/>
      <c r="F65" s="103"/>
      <c r="G65" s="103"/>
      <c r="H65" s="104"/>
      <c r="I65" s="231" t="s">
        <v>447</v>
      </c>
      <c r="J65" s="232" t="s">
        <v>464</v>
      </c>
      <c r="K65" s="3" t="s">
        <v>236</v>
      </c>
      <c r="L65" s="95" t="s">
        <v>238</v>
      </c>
      <c r="M65" s="96"/>
      <c r="N65" s="96"/>
      <c r="O65" s="96"/>
      <c r="P65" s="96"/>
      <c r="Q65" s="96"/>
      <c r="R65" s="96"/>
    </row>
    <row r="66" spans="1:18" s="12" customFormat="1" ht="87" customHeight="1">
      <c r="B66" s="74">
        <v>31</v>
      </c>
      <c r="C66" s="102" t="s">
        <v>143</v>
      </c>
      <c r="D66" s="103"/>
      <c r="E66" s="103"/>
      <c r="F66" s="103"/>
      <c r="G66" s="103"/>
      <c r="H66" s="104"/>
      <c r="I66" s="231" t="s">
        <v>447</v>
      </c>
      <c r="J66" s="232" t="s">
        <v>464</v>
      </c>
      <c r="K66" s="3" t="s">
        <v>210</v>
      </c>
      <c r="L66" s="95" t="s">
        <v>440</v>
      </c>
      <c r="M66" s="96"/>
      <c r="N66" s="96"/>
      <c r="O66" s="96"/>
      <c r="P66" s="96"/>
      <c r="Q66" s="96"/>
      <c r="R66" s="96"/>
    </row>
    <row r="67" spans="1:18" ht="127.5" customHeight="1">
      <c r="A67" s="12"/>
      <c r="B67" s="74">
        <v>32</v>
      </c>
      <c r="C67" s="97" t="s">
        <v>184</v>
      </c>
      <c r="D67" s="98"/>
      <c r="E67" s="98"/>
      <c r="F67" s="98"/>
      <c r="G67" s="100"/>
      <c r="H67" s="101"/>
      <c r="I67" s="231" t="s">
        <v>447</v>
      </c>
      <c r="J67" s="232" t="s">
        <v>465</v>
      </c>
      <c r="K67" s="3" t="s">
        <v>236</v>
      </c>
      <c r="L67" s="95" t="s">
        <v>238</v>
      </c>
      <c r="M67" s="96"/>
      <c r="N67" s="96"/>
      <c r="O67" s="96"/>
      <c r="P67" s="96"/>
      <c r="Q67" s="96"/>
      <c r="R67" s="96"/>
    </row>
    <row r="68" spans="1:18" ht="87" customHeight="1">
      <c r="A68" s="12"/>
      <c r="B68" s="74">
        <v>33</v>
      </c>
      <c r="C68" s="92" t="s">
        <v>124</v>
      </c>
      <c r="D68" s="93"/>
      <c r="E68" s="93"/>
      <c r="F68" s="93"/>
      <c r="G68" s="93"/>
      <c r="H68" s="94"/>
      <c r="I68" s="231" t="s">
        <v>447</v>
      </c>
      <c r="J68" s="232" t="s">
        <v>464</v>
      </c>
      <c r="K68" s="3" t="s">
        <v>236</v>
      </c>
      <c r="L68" s="95" t="s">
        <v>238</v>
      </c>
      <c r="M68" s="96"/>
      <c r="N68" s="96"/>
      <c r="O68" s="96"/>
      <c r="P68" s="96"/>
      <c r="Q68" s="96"/>
      <c r="R68" s="96"/>
    </row>
    <row r="69" spans="1:18" s="12" customFormat="1" ht="113.25" customHeight="1">
      <c r="B69" s="74">
        <v>34</v>
      </c>
      <c r="C69" s="102" t="s">
        <v>125</v>
      </c>
      <c r="D69" s="103"/>
      <c r="E69" s="103"/>
      <c r="F69" s="103"/>
      <c r="G69" s="103"/>
      <c r="H69" s="104"/>
      <c r="I69" s="231" t="s">
        <v>460</v>
      </c>
      <c r="J69" s="232" t="s">
        <v>459</v>
      </c>
      <c r="K69" s="3" t="s">
        <v>236</v>
      </c>
      <c r="L69" s="95" t="s">
        <v>238</v>
      </c>
      <c r="M69" s="96"/>
      <c r="N69" s="96"/>
      <c r="O69" s="96"/>
      <c r="P69" s="96"/>
      <c r="Q69" s="96"/>
      <c r="R69" s="96"/>
    </row>
    <row r="70" spans="1:18" s="12" customFormat="1" ht="96" customHeight="1">
      <c r="B70" s="74">
        <v>35</v>
      </c>
      <c r="C70" s="97" t="s">
        <v>185</v>
      </c>
      <c r="D70" s="98"/>
      <c r="E70" s="98"/>
      <c r="F70" s="98"/>
      <c r="G70" s="100"/>
      <c r="H70" s="101"/>
      <c r="I70" s="231" t="s">
        <v>449</v>
      </c>
      <c r="J70" s="232" t="s">
        <v>468</v>
      </c>
      <c r="K70" s="3" t="s">
        <v>236</v>
      </c>
      <c r="L70" s="95" t="s">
        <v>238</v>
      </c>
      <c r="M70" s="96"/>
      <c r="N70" s="96"/>
      <c r="O70" s="96"/>
      <c r="P70" s="96"/>
      <c r="Q70" s="96"/>
      <c r="R70" s="96"/>
    </row>
    <row r="71" spans="1:18" ht="90.75" customHeight="1">
      <c r="A71" s="12"/>
      <c r="B71" s="74">
        <v>36</v>
      </c>
      <c r="C71" s="97" t="s">
        <v>186</v>
      </c>
      <c r="D71" s="98"/>
      <c r="E71" s="98"/>
      <c r="F71" s="98"/>
      <c r="G71" s="100"/>
      <c r="H71" s="101"/>
      <c r="I71" s="231" t="s">
        <v>449</v>
      </c>
      <c r="J71" s="232" t="s">
        <v>469</v>
      </c>
      <c r="K71" s="3" t="s">
        <v>236</v>
      </c>
      <c r="L71" s="95" t="s">
        <v>238</v>
      </c>
      <c r="M71" s="96"/>
      <c r="N71" s="96"/>
      <c r="O71" s="96"/>
      <c r="P71" s="96"/>
      <c r="Q71" s="96"/>
      <c r="R71" s="96"/>
    </row>
    <row r="72" spans="1:18" s="12" customFormat="1" ht="87" customHeight="1">
      <c r="B72" s="74">
        <v>37</v>
      </c>
      <c r="C72" s="102" t="s">
        <v>187</v>
      </c>
      <c r="D72" s="103"/>
      <c r="E72" s="103"/>
      <c r="F72" s="103"/>
      <c r="G72" s="103"/>
      <c r="H72" s="104"/>
      <c r="I72" s="231" t="s">
        <v>449</v>
      </c>
      <c r="J72" s="232" t="s">
        <v>454</v>
      </c>
      <c r="K72" s="3" t="s">
        <v>236</v>
      </c>
      <c r="L72" s="95" t="s">
        <v>238</v>
      </c>
      <c r="M72" s="96"/>
      <c r="N72" s="96"/>
      <c r="O72" s="96"/>
      <c r="P72" s="96"/>
      <c r="Q72" s="96"/>
      <c r="R72" s="96"/>
    </row>
    <row r="73" spans="1:18" s="12" customFormat="1" ht="115.5" customHeight="1">
      <c r="B73" s="74">
        <v>38</v>
      </c>
      <c r="C73" s="102" t="s">
        <v>188</v>
      </c>
      <c r="D73" s="103"/>
      <c r="E73" s="103"/>
      <c r="F73" s="103"/>
      <c r="G73" s="103"/>
      <c r="H73" s="104"/>
      <c r="I73" s="231" t="s">
        <v>447</v>
      </c>
      <c r="J73" s="232" t="s">
        <v>470</v>
      </c>
      <c r="K73" s="3" t="s">
        <v>236</v>
      </c>
      <c r="L73" s="95" t="s">
        <v>238</v>
      </c>
      <c r="M73" s="96"/>
      <c r="N73" s="96"/>
      <c r="O73" s="96"/>
      <c r="P73" s="96"/>
      <c r="Q73" s="96"/>
      <c r="R73" s="96"/>
    </row>
    <row r="74" spans="1:18" ht="85.5" customHeight="1">
      <c r="A74" s="12"/>
      <c r="B74" s="74">
        <v>39</v>
      </c>
      <c r="C74" s="102" t="s">
        <v>144</v>
      </c>
      <c r="D74" s="103"/>
      <c r="E74" s="103"/>
      <c r="F74" s="103"/>
      <c r="G74" s="103"/>
      <c r="H74" s="104"/>
      <c r="I74" s="231" t="s">
        <v>447</v>
      </c>
      <c r="J74" s="232" t="s">
        <v>471</v>
      </c>
      <c r="K74" s="3" t="s">
        <v>210</v>
      </c>
      <c r="L74" s="95" t="s">
        <v>440</v>
      </c>
      <c r="M74" s="96"/>
      <c r="N74" s="96"/>
      <c r="O74" s="96"/>
      <c r="P74" s="96"/>
      <c r="Q74" s="96"/>
      <c r="R74" s="96"/>
    </row>
    <row r="75" spans="1:18" ht="99.75" customHeight="1">
      <c r="A75" s="12"/>
      <c r="B75" s="74">
        <v>40</v>
      </c>
      <c r="C75" s="97" t="s">
        <v>189</v>
      </c>
      <c r="D75" s="98"/>
      <c r="E75" s="98"/>
      <c r="F75" s="98"/>
      <c r="G75" s="100"/>
      <c r="H75" s="101"/>
      <c r="I75" s="231" t="s">
        <v>447</v>
      </c>
      <c r="J75" s="232" t="s">
        <v>465</v>
      </c>
      <c r="K75" s="3" t="s">
        <v>236</v>
      </c>
      <c r="L75" s="95" t="s">
        <v>238</v>
      </c>
      <c r="M75" s="96"/>
      <c r="N75" s="96"/>
      <c r="O75" s="96"/>
      <c r="P75" s="96"/>
      <c r="Q75" s="96"/>
      <c r="R75" s="96"/>
    </row>
    <row r="76" spans="1:18" s="12" customFormat="1" ht="113.25" customHeight="1">
      <c r="B76" s="74">
        <v>41</v>
      </c>
      <c r="C76" s="102" t="s">
        <v>126</v>
      </c>
      <c r="D76" s="103"/>
      <c r="E76" s="103"/>
      <c r="F76" s="103"/>
      <c r="G76" s="103"/>
      <c r="H76" s="104"/>
      <c r="I76" s="231" t="s">
        <v>447</v>
      </c>
      <c r="J76" s="232" t="s">
        <v>471</v>
      </c>
      <c r="K76" s="3" t="s">
        <v>236</v>
      </c>
      <c r="L76" s="95" t="s">
        <v>238</v>
      </c>
      <c r="M76" s="96"/>
      <c r="N76" s="96"/>
      <c r="O76" s="96"/>
      <c r="P76" s="96"/>
      <c r="Q76" s="96"/>
      <c r="R76" s="96"/>
    </row>
    <row r="77" spans="1:18" s="12" customFormat="1" ht="91.5" customHeight="1">
      <c r="B77" s="74">
        <v>42</v>
      </c>
      <c r="C77" s="92" t="s">
        <v>127</v>
      </c>
      <c r="D77" s="93"/>
      <c r="E77" s="93"/>
      <c r="F77" s="93"/>
      <c r="G77" s="93"/>
      <c r="H77" s="94"/>
      <c r="I77" s="231" t="s">
        <v>449</v>
      </c>
      <c r="J77" s="232" t="s">
        <v>469</v>
      </c>
      <c r="K77" s="3" t="s">
        <v>236</v>
      </c>
      <c r="L77" s="95" t="s">
        <v>238</v>
      </c>
      <c r="M77" s="96"/>
      <c r="N77" s="96"/>
      <c r="O77" s="96"/>
      <c r="P77" s="96"/>
      <c r="Q77" s="96"/>
      <c r="R77" s="96"/>
    </row>
    <row r="78" spans="1:18" ht="92.25" customHeight="1">
      <c r="A78" s="12"/>
      <c r="B78" s="74">
        <v>43</v>
      </c>
      <c r="C78" s="97" t="s">
        <v>225</v>
      </c>
      <c r="D78" s="98"/>
      <c r="E78" s="98"/>
      <c r="F78" s="98"/>
      <c r="G78" s="100"/>
      <c r="H78" s="101"/>
      <c r="I78" s="231" t="s">
        <v>460</v>
      </c>
      <c r="J78" s="232" t="s">
        <v>466</v>
      </c>
      <c r="K78" s="3" t="s">
        <v>236</v>
      </c>
      <c r="L78" s="95" t="s">
        <v>238</v>
      </c>
      <c r="M78" s="96"/>
      <c r="N78" s="96"/>
      <c r="O78" s="96"/>
      <c r="P78" s="96"/>
      <c r="Q78" s="96"/>
      <c r="R78" s="96"/>
    </row>
    <row r="79" spans="1:18" ht="127.5" customHeight="1">
      <c r="A79" s="12"/>
      <c r="B79" s="74">
        <v>44</v>
      </c>
      <c r="C79" s="97" t="s">
        <v>190</v>
      </c>
      <c r="D79" s="98"/>
      <c r="E79" s="98"/>
      <c r="F79" s="98"/>
      <c r="G79" s="100"/>
      <c r="H79" s="101"/>
      <c r="I79" s="231" t="s">
        <v>449</v>
      </c>
      <c r="J79" s="232" t="s">
        <v>469</v>
      </c>
      <c r="K79" s="3" t="s">
        <v>236</v>
      </c>
      <c r="L79" s="95" t="s">
        <v>238</v>
      </c>
      <c r="M79" s="96"/>
      <c r="N79" s="96"/>
      <c r="O79" s="96"/>
      <c r="P79" s="96"/>
      <c r="Q79" s="96"/>
      <c r="R79" s="96"/>
    </row>
    <row r="80" spans="1:18" ht="87" customHeight="1">
      <c r="A80" s="12"/>
      <c r="B80" s="74">
        <v>45</v>
      </c>
      <c r="C80" s="102" t="s">
        <v>191</v>
      </c>
      <c r="D80" s="103"/>
      <c r="E80" s="103"/>
      <c r="F80" s="103"/>
      <c r="G80" s="103"/>
      <c r="H80" s="104"/>
      <c r="I80" s="231" t="s">
        <v>449</v>
      </c>
      <c r="J80" s="232" t="s">
        <v>469</v>
      </c>
      <c r="K80" s="3" t="s">
        <v>236</v>
      </c>
      <c r="L80" s="95" t="s">
        <v>238</v>
      </c>
      <c r="M80" s="96"/>
      <c r="N80" s="96"/>
      <c r="O80" s="96"/>
      <c r="P80" s="96"/>
      <c r="Q80" s="96"/>
      <c r="R80" s="96"/>
    </row>
    <row r="81" spans="1:18" s="12" customFormat="1" ht="96.75" customHeight="1">
      <c r="B81" s="74">
        <v>46</v>
      </c>
      <c r="C81" s="102" t="s">
        <v>192</v>
      </c>
      <c r="D81" s="103"/>
      <c r="E81" s="103"/>
      <c r="F81" s="103"/>
      <c r="G81" s="103"/>
      <c r="H81" s="104"/>
      <c r="I81" s="231" t="s">
        <v>447</v>
      </c>
      <c r="J81" s="232" t="s">
        <v>471</v>
      </c>
      <c r="K81" s="3" t="s">
        <v>236</v>
      </c>
      <c r="L81" s="95" t="s">
        <v>238</v>
      </c>
      <c r="M81" s="96"/>
      <c r="N81" s="96"/>
      <c r="O81" s="96"/>
      <c r="P81" s="96"/>
      <c r="Q81" s="96"/>
      <c r="R81" s="96"/>
    </row>
    <row r="82" spans="1:18" s="12" customFormat="1" ht="90.75" customHeight="1">
      <c r="B82" s="74">
        <v>47</v>
      </c>
      <c r="C82" s="102" t="s">
        <v>145</v>
      </c>
      <c r="D82" s="103"/>
      <c r="E82" s="103"/>
      <c r="F82" s="103"/>
      <c r="G82" s="103"/>
      <c r="H82" s="104"/>
      <c r="I82" s="231" t="s">
        <v>447</v>
      </c>
      <c r="J82" s="232" t="s">
        <v>471</v>
      </c>
      <c r="K82" s="3" t="s">
        <v>210</v>
      </c>
      <c r="L82" s="105" t="s">
        <v>440</v>
      </c>
      <c r="M82" s="106"/>
      <c r="N82" s="106"/>
      <c r="O82" s="106"/>
      <c r="P82" s="106"/>
      <c r="Q82" s="106"/>
      <c r="R82" s="107"/>
    </row>
    <row r="83" spans="1:18" ht="95.25" customHeight="1">
      <c r="A83" s="12"/>
      <c r="B83" s="74">
        <v>48</v>
      </c>
      <c r="C83" s="97" t="s">
        <v>193</v>
      </c>
      <c r="D83" s="98"/>
      <c r="E83" s="98"/>
      <c r="F83" s="98"/>
      <c r="G83" s="100"/>
      <c r="H83" s="101"/>
      <c r="I83" s="231" t="s">
        <v>447</v>
      </c>
      <c r="J83" s="232" t="s">
        <v>465</v>
      </c>
      <c r="K83" s="3" t="s">
        <v>236</v>
      </c>
      <c r="L83" s="95" t="s">
        <v>238</v>
      </c>
      <c r="M83" s="96"/>
      <c r="N83" s="96"/>
      <c r="O83" s="96"/>
      <c r="P83" s="96"/>
      <c r="Q83" s="96"/>
      <c r="R83" s="96"/>
    </row>
    <row r="84" spans="1:18" ht="196.2" customHeight="1">
      <c r="A84" s="12"/>
      <c r="B84" s="74">
        <v>49</v>
      </c>
      <c r="C84" s="108" t="s">
        <v>138</v>
      </c>
      <c r="D84" s="109"/>
      <c r="E84" s="109"/>
      <c r="F84" s="109"/>
      <c r="G84" s="110"/>
      <c r="H84" s="111"/>
      <c r="I84" s="231" t="s">
        <v>460</v>
      </c>
      <c r="J84" s="232" t="s">
        <v>466</v>
      </c>
      <c r="K84" s="3" t="s">
        <v>210</v>
      </c>
      <c r="L84" s="95" t="s">
        <v>246</v>
      </c>
      <c r="M84" s="96"/>
      <c r="N84" s="96"/>
      <c r="O84" s="96"/>
      <c r="P84" s="96"/>
      <c r="Q84" s="96"/>
      <c r="R84" s="96"/>
    </row>
    <row r="85" spans="1:18" ht="112.95" customHeight="1">
      <c r="A85" s="12"/>
      <c r="B85" s="74">
        <v>50</v>
      </c>
      <c r="C85" s="97" t="s">
        <v>194</v>
      </c>
      <c r="D85" s="98"/>
      <c r="E85" s="98"/>
      <c r="F85" s="98"/>
      <c r="G85" s="100"/>
      <c r="H85" s="101"/>
      <c r="I85" s="231" t="s">
        <v>449</v>
      </c>
      <c r="J85" s="232" t="s">
        <v>469</v>
      </c>
      <c r="K85" s="3" t="s">
        <v>210</v>
      </c>
      <c r="L85" s="95" t="s">
        <v>442</v>
      </c>
      <c r="M85" s="96"/>
      <c r="N85" s="96"/>
      <c r="O85" s="96"/>
      <c r="P85" s="96"/>
      <c r="Q85" s="96"/>
      <c r="R85" s="96"/>
    </row>
    <row r="86" spans="1:18" s="12" customFormat="1" ht="127.95" customHeight="1">
      <c r="B86" s="74">
        <v>51</v>
      </c>
      <c r="C86" s="102" t="s">
        <v>195</v>
      </c>
      <c r="D86" s="103"/>
      <c r="E86" s="103"/>
      <c r="F86" s="103"/>
      <c r="G86" s="103"/>
      <c r="H86" s="104"/>
      <c r="I86" s="231" t="s">
        <v>449</v>
      </c>
      <c r="J86" s="232" t="s">
        <v>469</v>
      </c>
      <c r="K86" s="3" t="s">
        <v>236</v>
      </c>
      <c r="L86" s="95" t="s">
        <v>238</v>
      </c>
      <c r="M86" s="96"/>
      <c r="N86" s="96"/>
      <c r="O86" s="96"/>
      <c r="P86" s="96"/>
      <c r="Q86" s="96"/>
      <c r="R86" s="96"/>
    </row>
    <row r="87" spans="1:18" s="12" customFormat="1" ht="128.25" customHeight="1">
      <c r="B87" s="74">
        <v>52</v>
      </c>
      <c r="C87" s="102" t="s">
        <v>196</v>
      </c>
      <c r="D87" s="103"/>
      <c r="E87" s="103"/>
      <c r="F87" s="103"/>
      <c r="G87" s="103"/>
      <c r="H87" s="104"/>
      <c r="I87" s="231" t="s">
        <v>447</v>
      </c>
      <c r="J87" s="232" t="s">
        <v>471</v>
      </c>
      <c r="K87" s="3" t="s">
        <v>210</v>
      </c>
      <c r="L87" s="95" t="s">
        <v>247</v>
      </c>
      <c r="M87" s="96"/>
      <c r="N87" s="96"/>
      <c r="O87" s="96"/>
      <c r="P87" s="96"/>
      <c r="Q87" s="96"/>
      <c r="R87" s="96"/>
    </row>
    <row r="88" spans="1:18" ht="140.25" customHeight="1">
      <c r="A88" s="12"/>
      <c r="B88" s="74">
        <v>53</v>
      </c>
      <c r="C88" s="102" t="s">
        <v>146</v>
      </c>
      <c r="D88" s="103"/>
      <c r="E88" s="103"/>
      <c r="F88" s="103"/>
      <c r="G88" s="103"/>
      <c r="H88" s="104"/>
      <c r="I88" s="231" t="s">
        <v>447</v>
      </c>
      <c r="J88" s="232" t="s">
        <v>471</v>
      </c>
      <c r="K88" s="3" t="s">
        <v>210</v>
      </c>
      <c r="L88" s="105" t="s">
        <v>440</v>
      </c>
      <c r="M88" s="106"/>
      <c r="N88" s="106"/>
      <c r="O88" s="106"/>
      <c r="P88" s="106"/>
      <c r="Q88" s="106"/>
      <c r="R88" s="107"/>
    </row>
    <row r="89" spans="1:18" s="12" customFormat="1" ht="87" customHeight="1">
      <c r="B89" s="74">
        <v>54</v>
      </c>
      <c r="C89" s="97" t="s">
        <v>243</v>
      </c>
      <c r="D89" s="98"/>
      <c r="E89" s="98"/>
      <c r="F89" s="98"/>
      <c r="G89" s="100"/>
      <c r="H89" s="101"/>
      <c r="I89" s="231" t="s">
        <v>447</v>
      </c>
      <c r="J89" s="232" t="s">
        <v>465</v>
      </c>
      <c r="K89" s="3" t="s">
        <v>210</v>
      </c>
      <c r="L89" s="95" t="s">
        <v>248</v>
      </c>
      <c r="M89" s="96"/>
      <c r="N89" s="96"/>
      <c r="O89" s="96"/>
      <c r="P89" s="96"/>
      <c r="Q89" s="96"/>
      <c r="R89" s="96"/>
    </row>
    <row r="90" spans="1:18" ht="262.95" customHeight="1">
      <c r="A90" s="12"/>
      <c r="B90" s="74">
        <v>55</v>
      </c>
      <c r="C90" s="108" t="s">
        <v>226</v>
      </c>
      <c r="D90" s="109"/>
      <c r="E90" s="109"/>
      <c r="F90" s="109"/>
      <c r="G90" s="110"/>
      <c r="H90" s="111"/>
      <c r="I90" s="231" t="s">
        <v>460</v>
      </c>
      <c r="J90" s="232" t="s">
        <v>466</v>
      </c>
      <c r="K90" s="3" t="s">
        <v>236</v>
      </c>
      <c r="L90" s="95" t="s">
        <v>238</v>
      </c>
      <c r="M90" s="96"/>
      <c r="N90" s="96"/>
      <c r="O90" s="96"/>
      <c r="P90" s="96"/>
      <c r="Q90" s="96"/>
      <c r="R90" s="96"/>
    </row>
    <row r="91" spans="1:18" ht="87" customHeight="1">
      <c r="A91" s="12"/>
      <c r="B91" s="74">
        <v>56</v>
      </c>
      <c r="C91" s="97" t="s">
        <v>197</v>
      </c>
      <c r="D91" s="98"/>
      <c r="E91" s="98"/>
      <c r="F91" s="98"/>
      <c r="G91" s="100"/>
      <c r="H91" s="101"/>
      <c r="I91" s="231" t="s">
        <v>449</v>
      </c>
      <c r="J91" s="232" t="s">
        <v>462</v>
      </c>
      <c r="K91" s="3" t="s">
        <v>236</v>
      </c>
      <c r="L91" s="95" t="s">
        <v>238</v>
      </c>
      <c r="M91" s="96"/>
      <c r="N91" s="96"/>
      <c r="O91" s="96"/>
      <c r="P91" s="96"/>
      <c r="Q91" s="96"/>
      <c r="R91" s="96"/>
    </row>
    <row r="92" spans="1:18" ht="138" customHeight="1">
      <c r="A92" s="12" t="s">
        <v>98</v>
      </c>
      <c r="B92" s="74">
        <v>57</v>
      </c>
      <c r="C92" s="102" t="s">
        <v>198</v>
      </c>
      <c r="D92" s="103"/>
      <c r="E92" s="103"/>
      <c r="F92" s="103"/>
      <c r="G92" s="103"/>
      <c r="H92" s="104"/>
      <c r="I92" s="231" t="s">
        <v>449</v>
      </c>
      <c r="J92" s="232" t="s">
        <v>462</v>
      </c>
      <c r="K92" s="3" t="s">
        <v>236</v>
      </c>
      <c r="L92" s="95" t="s">
        <v>238</v>
      </c>
      <c r="M92" s="96"/>
      <c r="N92" s="96"/>
      <c r="O92" s="96"/>
      <c r="P92" s="96"/>
      <c r="Q92" s="96"/>
      <c r="R92" s="96"/>
    </row>
    <row r="93" spans="1:18" s="12" customFormat="1" ht="93" customHeight="1">
      <c r="B93" s="74">
        <v>58</v>
      </c>
      <c r="C93" s="102" t="s">
        <v>199</v>
      </c>
      <c r="D93" s="103"/>
      <c r="E93" s="103"/>
      <c r="F93" s="103"/>
      <c r="G93" s="103"/>
      <c r="H93" s="104"/>
      <c r="I93" s="231" t="s">
        <v>449</v>
      </c>
      <c r="J93" s="232" t="s">
        <v>472</v>
      </c>
      <c r="K93" s="3" t="s">
        <v>236</v>
      </c>
      <c r="L93" s="95" t="s">
        <v>238</v>
      </c>
      <c r="M93" s="96"/>
      <c r="N93" s="96"/>
      <c r="O93" s="96"/>
      <c r="P93" s="96"/>
      <c r="Q93" s="96"/>
      <c r="R93" s="96"/>
    </row>
    <row r="94" spans="1:18" ht="93" customHeight="1">
      <c r="A94" s="12"/>
      <c r="B94" s="74">
        <v>59</v>
      </c>
      <c r="C94" s="102" t="s">
        <v>134</v>
      </c>
      <c r="D94" s="103"/>
      <c r="E94" s="103"/>
      <c r="F94" s="103"/>
      <c r="G94" s="103"/>
      <c r="H94" s="104"/>
      <c r="I94" s="231" t="s">
        <v>447</v>
      </c>
      <c r="J94" s="232" t="s">
        <v>471</v>
      </c>
      <c r="K94" s="3" t="s">
        <v>210</v>
      </c>
      <c r="L94" s="105" t="s">
        <v>440</v>
      </c>
      <c r="M94" s="106"/>
      <c r="N94" s="106"/>
      <c r="O94" s="106"/>
      <c r="P94" s="106"/>
      <c r="Q94" s="106"/>
      <c r="R94" s="107"/>
    </row>
    <row r="95" spans="1:18" ht="91.5" customHeight="1">
      <c r="A95" s="12"/>
      <c r="B95" s="74">
        <v>60</v>
      </c>
      <c r="C95" s="97" t="s">
        <v>200</v>
      </c>
      <c r="D95" s="98"/>
      <c r="E95" s="98"/>
      <c r="F95" s="98"/>
      <c r="G95" s="100"/>
      <c r="H95" s="101"/>
      <c r="I95" s="231" t="s">
        <v>447</v>
      </c>
      <c r="J95" s="232" t="s">
        <v>465</v>
      </c>
      <c r="K95" s="3" t="s">
        <v>236</v>
      </c>
      <c r="L95" s="95" t="s">
        <v>238</v>
      </c>
      <c r="M95" s="96"/>
      <c r="N95" s="96"/>
      <c r="O95" s="96"/>
      <c r="P95" s="96"/>
      <c r="Q95" s="96"/>
      <c r="R95" s="96"/>
    </row>
    <row r="96" spans="1:18" ht="87" customHeight="1">
      <c r="A96" s="12"/>
      <c r="B96" s="74">
        <v>61</v>
      </c>
      <c r="C96" s="97" t="s">
        <v>137</v>
      </c>
      <c r="D96" s="98"/>
      <c r="E96" s="98"/>
      <c r="F96" s="98"/>
      <c r="G96" s="98"/>
      <c r="H96" s="99"/>
      <c r="I96" s="231" t="s">
        <v>449</v>
      </c>
      <c r="J96" s="232" t="s">
        <v>462</v>
      </c>
      <c r="K96" s="3" t="s">
        <v>236</v>
      </c>
      <c r="L96" s="95" t="s">
        <v>238</v>
      </c>
      <c r="M96" s="96"/>
      <c r="N96" s="96"/>
      <c r="O96" s="96"/>
      <c r="P96" s="96"/>
      <c r="Q96" s="96"/>
      <c r="R96" s="96"/>
    </row>
    <row r="97" spans="1:18" ht="186.75" customHeight="1">
      <c r="A97" s="12"/>
      <c r="B97" s="74">
        <v>62</v>
      </c>
      <c r="C97" s="97" t="s">
        <v>227</v>
      </c>
      <c r="D97" s="98"/>
      <c r="E97" s="98"/>
      <c r="F97" s="98"/>
      <c r="G97" s="100"/>
      <c r="H97" s="101"/>
      <c r="I97" s="231" t="s">
        <v>449</v>
      </c>
      <c r="J97" s="232" t="s">
        <v>472</v>
      </c>
      <c r="K97" s="3" t="s">
        <v>236</v>
      </c>
      <c r="L97" s="95" t="s">
        <v>238</v>
      </c>
      <c r="M97" s="96"/>
      <c r="N97" s="96"/>
      <c r="O97" s="96"/>
      <c r="P97" s="96"/>
      <c r="Q97" s="96"/>
      <c r="R97" s="96"/>
    </row>
    <row r="98" spans="1:18" ht="105.75" customHeight="1">
      <c r="A98" s="12"/>
      <c r="B98" s="74">
        <v>63</v>
      </c>
      <c r="C98" s="97" t="s">
        <v>201</v>
      </c>
      <c r="D98" s="98"/>
      <c r="E98" s="98"/>
      <c r="F98" s="98"/>
      <c r="G98" s="100"/>
      <c r="H98" s="101"/>
      <c r="I98" s="231" t="s">
        <v>449</v>
      </c>
      <c r="J98" s="232" t="s">
        <v>462</v>
      </c>
      <c r="K98" s="3" t="s">
        <v>236</v>
      </c>
      <c r="L98" s="95" t="s">
        <v>238</v>
      </c>
      <c r="M98" s="96"/>
      <c r="N98" s="96"/>
      <c r="O98" s="96"/>
      <c r="P98" s="96"/>
      <c r="Q98" s="96"/>
      <c r="R98" s="96"/>
    </row>
    <row r="99" spans="1:18" s="12" customFormat="1" ht="226.5" customHeight="1">
      <c r="B99" s="74">
        <v>64</v>
      </c>
      <c r="C99" s="92" t="s">
        <v>202</v>
      </c>
      <c r="D99" s="103"/>
      <c r="E99" s="103"/>
      <c r="F99" s="103"/>
      <c r="G99" s="103"/>
      <c r="H99" s="104"/>
      <c r="I99" s="231" t="s">
        <v>449</v>
      </c>
      <c r="J99" s="232" t="s">
        <v>462</v>
      </c>
      <c r="K99" s="3" t="s">
        <v>236</v>
      </c>
      <c r="L99" s="95" t="s">
        <v>238</v>
      </c>
      <c r="M99" s="96"/>
      <c r="N99" s="96"/>
      <c r="O99" s="96"/>
      <c r="P99" s="96"/>
      <c r="Q99" s="96"/>
      <c r="R99" s="96"/>
    </row>
    <row r="100" spans="1:18" s="12" customFormat="1" ht="195.75" customHeight="1">
      <c r="B100" s="74">
        <v>65</v>
      </c>
      <c r="C100" s="92" t="s">
        <v>203</v>
      </c>
      <c r="D100" s="103"/>
      <c r="E100" s="103"/>
      <c r="F100" s="103"/>
      <c r="G100" s="103"/>
      <c r="H100" s="104"/>
      <c r="I100" s="231" t="s">
        <v>447</v>
      </c>
      <c r="J100" s="232" t="s">
        <v>471</v>
      </c>
      <c r="K100" s="3" t="s">
        <v>236</v>
      </c>
      <c r="L100" s="95" t="s">
        <v>238</v>
      </c>
      <c r="M100" s="96"/>
      <c r="N100" s="96"/>
      <c r="O100" s="96"/>
      <c r="P100" s="96"/>
      <c r="Q100" s="96"/>
      <c r="R100" s="96"/>
    </row>
    <row r="101" spans="1:18" ht="187.5" customHeight="1">
      <c r="A101" s="12"/>
      <c r="B101" s="74">
        <v>66</v>
      </c>
      <c r="C101" s="102" t="s">
        <v>147</v>
      </c>
      <c r="D101" s="103"/>
      <c r="E101" s="103"/>
      <c r="F101" s="103"/>
      <c r="G101" s="103"/>
      <c r="H101" s="104"/>
      <c r="I101" s="231" t="s">
        <v>447</v>
      </c>
      <c r="J101" s="232" t="s">
        <v>471</v>
      </c>
      <c r="K101" s="3" t="s">
        <v>210</v>
      </c>
      <c r="L101" s="105" t="s">
        <v>440</v>
      </c>
      <c r="M101" s="106"/>
      <c r="N101" s="106"/>
      <c r="O101" s="106"/>
      <c r="P101" s="106"/>
      <c r="Q101" s="106"/>
      <c r="R101" s="107"/>
    </row>
    <row r="102" spans="1:18" s="12" customFormat="1" ht="117" customHeight="1">
      <c r="B102" s="74">
        <v>67</v>
      </c>
      <c r="C102" s="97" t="s">
        <v>204</v>
      </c>
      <c r="D102" s="98"/>
      <c r="E102" s="98"/>
      <c r="F102" s="98"/>
      <c r="G102" s="100"/>
      <c r="H102" s="101"/>
      <c r="I102" s="231" t="s">
        <v>447</v>
      </c>
      <c r="J102" s="232" t="s">
        <v>465</v>
      </c>
      <c r="K102" s="3" t="s">
        <v>236</v>
      </c>
      <c r="L102" s="95" t="s">
        <v>238</v>
      </c>
      <c r="M102" s="96"/>
      <c r="N102" s="96"/>
      <c r="O102" s="96"/>
      <c r="P102" s="96"/>
      <c r="Q102" s="96"/>
      <c r="R102" s="96"/>
    </row>
    <row r="103" spans="1:18" ht="132.75" customHeight="1">
      <c r="A103" s="12"/>
      <c r="B103" s="74">
        <v>68</v>
      </c>
      <c r="C103" s="92" t="s">
        <v>131</v>
      </c>
      <c r="D103" s="103"/>
      <c r="E103" s="103"/>
      <c r="F103" s="103"/>
      <c r="G103" s="103"/>
      <c r="H103" s="104"/>
      <c r="I103" s="231" t="s">
        <v>447</v>
      </c>
      <c r="J103" s="232" t="s">
        <v>471</v>
      </c>
      <c r="K103" s="3" t="s">
        <v>236</v>
      </c>
      <c r="L103" s="95" t="s">
        <v>238</v>
      </c>
      <c r="M103" s="96"/>
      <c r="N103" s="96"/>
      <c r="O103" s="96"/>
      <c r="P103" s="96"/>
      <c r="Q103" s="96"/>
      <c r="R103" s="96"/>
    </row>
    <row r="104" spans="1:18" ht="76.5" customHeight="1">
      <c r="A104" s="12"/>
      <c r="B104" s="74">
        <v>69</v>
      </c>
      <c r="C104" s="92" t="s">
        <v>128</v>
      </c>
      <c r="D104" s="93"/>
      <c r="E104" s="93"/>
      <c r="F104" s="93"/>
      <c r="G104" s="93"/>
      <c r="H104" s="94"/>
      <c r="I104" s="231" t="s">
        <v>447</v>
      </c>
      <c r="J104" s="232" t="s">
        <v>471</v>
      </c>
      <c r="K104" s="3" t="s">
        <v>236</v>
      </c>
      <c r="L104" s="95" t="s">
        <v>238</v>
      </c>
      <c r="M104" s="96"/>
      <c r="N104" s="96"/>
      <c r="O104" s="96"/>
      <c r="P104" s="96"/>
      <c r="Q104" s="96"/>
      <c r="R104" s="96"/>
    </row>
    <row r="105" spans="1:18" ht="131.4" customHeight="1">
      <c r="A105" s="12"/>
      <c r="B105" s="74">
        <v>70</v>
      </c>
      <c r="C105" s="97" t="s">
        <v>228</v>
      </c>
      <c r="D105" s="98"/>
      <c r="E105" s="98"/>
      <c r="F105" s="98"/>
      <c r="G105" s="100"/>
      <c r="H105" s="101"/>
      <c r="I105" s="231" t="s">
        <v>449</v>
      </c>
      <c r="J105" s="232" t="s">
        <v>473</v>
      </c>
      <c r="K105" s="3" t="s">
        <v>236</v>
      </c>
      <c r="L105" s="95" t="s">
        <v>238</v>
      </c>
      <c r="M105" s="96"/>
      <c r="N105" s="96"/>
      <c r="O105" s="96"/>
      <c r="P105" s="96"/>
      <c r="Q105" s="96"/>
      <c r="R105" s="96"/>
    </row>
    <row r="106" spans="1:18" ht="87" customHeight="1">
      <c r="A106" s="12"/>
      <c r="B106" s="74">
        <v>71</v>
      </c>
      <c r="C106" s="97" t="s">
        <v>205</v>
      </c>
      <c r="D106" s="98"/>
      <c r="E106" s="98"/>
      <c r="F106" s="98"/>
      <c r="G106" s="100"/>
      <c r="H106" s="101"/>
      <c r="I106" s="231" t="s">
        <v>449</v>
      </c>
      <c r="J106" s="232" t="s">
        <v>462</v>
      </c>
      <c r="K106" s="3" t="s">
        <v>236</v>
      </c>
      <c r="L106" s="95" t="s">
        <v>238</v>
      </c>
      <c r="M106" s="96"/>
      <c r="N106" s="96"/>
      <c r="O106" s="96"/>
      <c r="P106" s="96"/>
      <c r="Q106" s="96"/>
      <c r="R106" s="96"/>
    </row>
    <row r="107" spans="1:18" ht="102.6" customHeight="1">
      <c r="B107" s="74">
        <v>72</v>
      </c>
      <c r="C107" s="102" t="s">
        <v>206</v>
      </c>
      <c r="D107" s="103"/>
      <c r="E107" s="103"/>
      <c r="F107" s="103"/>
      <c r="G107" s="103"/>
      <c r="H107" s="104"/>
      <c r="I107" s="231" t="s">
        <v>449</v>
      </c>
      <c r="J107" s="232" t="s">
        <v>462</v>
      </c>
      <c r="K107" s="3" t="s">
        <v>236</v>
      </c>
      <c r="L107" s="95" t="s">
        <v>238</v>
      </c>
      <c r="M107" s="96"/>
      <c r="N107" s="96"/>
      <c r="O107" s="96"/>
      <c r="P107" s="96"/>
      <c r="Q107" s="96"/>
      <c r="R107" s="96"/>
    </row>
    <row r="108" spans="1:18" ht="102.6" customHeight="1">
      <c r="B108" s="74">
        <v>73</v>
      </c>
      <c r="C108" s="102" t="s">
        <v>207</v>
      </c>
      <c r="D108" s="103"/>
      <c r="E108" s="103"/>
      <c r="F108" s="103"/>
      <c r="G108" s="103"/>
      <c r="H108" s="104"/>
      <c r="I108" s="231" t="s">
        <v>449</v>
      </c>
      <c r="J108" s="232" t="s">
        <v>473</v>
      </c>
      <c r="K108" s="3" t="s">
        <v>236</v>
      </c>
      <c r="L108" s="95" t="s">
        <v>238</v>
      </c>
      <c r="M108" s="96"/>
      <c r="N108" s="96"/>
      <c r="O108" s="96"/>
      <c r="P108" s="96"/>
      <c r="Q108" s="96"/>
      <c r="R108" s="96"/>
    </row>
    <row r="109" spans="1:18" ht="102.6" customHeight="1">
      <c r="B109" s="74">
        <v>74</v>
      </c>
      <c r="C109" s="102" t="s">
        <v>135</v>
      </c>
      <c r="D109" s="103"/>
      <c r="E109" s="103"/>
      <c r="F109" s="103"/>
      <c r="G109" s="103"/>
      <c r="H109" s="104"/>
      <c r="I109" s="231" t="s">
        <v>447</v>
      </c>
      <c r="J109" s="232" t="s">
        <v>471</v>
      </c>
      <c r="K109" s="3" t="s">
        <v>210</v>
      </c>
      <c r="L109" s="105" t="s">
        <v>440</v>
      </c>
      <c r="M109" s="106"/>
      <c r="N109" s="106"/>
      <c r="O109" s="106"/>
      <c r="P109" s="106"/>
      <c r="Q109" s="106"/>
      <c r="R109" s="107"/>
    </row>
    <row r="110" spans="1:18" ht="102.6" customHeight="1">
      <c r="B110" s="74">
        <v>75</v>
      </c>
      <c r="C110" s="97" t="s">
        <v>208</v>
      </c>
      <c r="D110" s="98"/>
      <c r="E110" s="98"/>
      <c r="F110" s="98"/>
      <c r="G110" s="100"/>
      <c r="H110" s="101"/>
      <c r="I110" s="231" t="s">
        <v>447</v>
      </c>
      <c r="J110" s="232" t="s">
        <v>465</v>
      </c>
      <c r="K110" s="3" t="s">
        <v>236</v>
      </c>
      <c r="L110" s="95" t="s">
        <v>238</v>
      </c>
      <c r="M110" s="96"/>
      <c r="N110" s="96"/>
      <c r="O110" s="96"/>
      <c r="P110" s="96"/>
      <c r="Q110" s="96"/>
      <c r="R110" s="96"/>
    </row>
    <row r="111" spans="1:18" ht="102.6" customHeight="1">
      <c r="B111" s="74">
        <v>76</v>
      </c>
      <c r="C111" s="97" t="s">
        <v>136</v>
      </c>
      <c r="D111" s="98"/>
      <c r="E111" s="98"/>
      <c r="F111" s="98"/>
      <c r="G111" s="98"/>
      <c r="H111" s="99"/>
      <c r="I111" s="231" t="s">
        <v>449</v>
      </c>
      <c r="J111" s="232" t="s">
        <v>455</v>
      </c>
      <c r="K111" s="3" t="s">
        <v>236</v>
      </c>
      <c r="L111" s="95" t="s">
        <v>238</v>
      </c>
      <c r="M111" s="96"/>
      <c r="N111" s="96"/>
      <c r="O111" s="96"/>
      <c r="P111" s="96"/>
      <c r="Q111" s="96"/>
      <c r="R111" s="96"/>
    </row>
    <row r="112" spans="1:18" ht="102.6" customHeight="1">
      <c r="B112" s="74">
        <v>77</v>
      </c>
      <c r="C112" s="92" t="s">
        <v>129</v>
      </c>
      <c r="D112" s="93"/>
      <c r="E112" s="93"/>
      <c r="F112" s="93"/>
      <c r="G112" s="93"/>
      <c r="H112" s="94"/>
      <c r="I112" s="231" t="s">
        <v>449</v>
      </c>
      <c r="J112" s="232" t="s">
        <v>473</v>
      </c>
      <c r="K112" s="3" t="s">
        <v>236</v>
      </c>
      <c r="L112" s="95" t="s">
        <v>238</v>
      </c>
      <c r="M112" s="96"/>
      <c r="N112" s="96"/>
      <c r="O112" s="96"/>
      <c r="P112" s="96"/>
      <c r="Q112" s="96"/>
      <c r="R112" s="96"/>
    </row>
    <row r="113" spans="2:18" ht="102.6" customHeight="1">
      <c r="B113" s="74">
        <v>78</v>
      </c>
      <c r="C113" s="97" t="s">
        <v>229</v>
      </c>
      <c r="D113" s="98"/>
      <c r="E113" s="98"/>
      <c r="F113" s="98"/>
      <c r="G113" s="100"/>
      <c r="H113" s="101"/>
      <c r="I113" s="231" t="s">
        <v>460</v>
      </c>
      <c r="J113" s="232" t="s">
        <v>466</v>
      </c>
      <c r="K113" s="3" t="s">
        <v>236</v>
      </c>
      <c r="L113" s="95" t="s">
        <v>238</v>
      </c>
      <c r="M113" s="96"/>
      <c r="N113" s="96"/>
      <c r="O113" s="96"/>
      <c r="P113" s="96"/>
      <c r="Q113" s="96"/>
      <c r="R113" s="96"/>
    </row>
    <row r="114" spans="2:18" ht="285.75" customHeight="1">
      <c r="B114" s="74">
        <v>79</v>
      </c>
      <c r="C114" s="92" t="s">
        <v>230</v>
      </c>
      <c r="D114" s="93"/>
      <c r="E114" s="93"/>
      <c r="F114" s="93"/>
      <c r="G114" s="93"/>
      <c r="H114" s="94"/>
      <c r="I114" s="231" t="s">
        <v>449</v>
      </c>
      <c r="J114" s="232" t="s">
        <v>474</v>
      </c>
      <c r="K114" s="3" t="s">
        <v>210</v>
      </c>
      <c r="L114" s="95" t="s">
        <v>244</v>
      </c>
      <c r="M114" s="96"/>
      <c r="N114" s="96"/>
      <c r="O114" s="96"/>
      <c r="P114" s="96"/>
      <c r="Q114" s="96"/>
      <c r="R114" s="96"/>
    </row>
    <row r="115" spans="2:18" ht="321" customHeight="1">
      <c r="B115" s="74">
        <v>80</v>
      </c>
      <c r="C115" s="92" t="s">
        <v>231</v>
      </c>
      <c r="D115" s="93"/>
      <c r="E115" s="93"/>
      <c r="F115" s="93"/>
      <c r="G115" s="93"/>
      <c r="H115" s="94"/>
      <c r="I115" s="231" t="s">
        <v>449</v>
      </c>
      <c r="J115" s="232" t="s">
        <v>474</v>
      </c>
      <c r="K115" s="3" t="s">
        <v>210</v>
      </c>
      <c r="L115" s="95" t="s">
        <v>245</v>
      </c>
      <c r="M115" s="96"/>
      <c r="N115" s="96"/>
      <c r="O115" s="96"/>
      <c r="P115" s="96"/>
      <c r="Q115" s="96"/>
      <c r="R115" s="96"/>
    </row>
    <row r="116" spans="2:18" ht="145.5" customHeight="1">
      <c r="B116" s="74">
        <v>81</v>
      </c>
      <c r="C116" s="92" t="s">
        <v>235</v>
      </c>
      <c r="D116" s="93"/>
      <c r="E116" s="93"/>
      <c r="F116" s="93"/>
      <c r="G116" s="93"/>
      <c r="H116" s="94"/>
      <c r="I116" s="231" t="s">
        <v>449</v>
      </c>
      <c r="J116" s="232" t="s">
        <v>462</v>
      </c>
      <c r="K116" s="3" t="s">
        <v>210</v>
      </c>
      <c r="L116" s="95" t="s">
        <v>240</v>
      </c>
      <c r="M116" s="96"/>
      <c r="N116" s="96"/>
      <c r="O116" s="96"/>
      <c r="P116" s="96"/>
      <c r="Q116" s="96"/>
      <c r="R116" s="96"/>
    </row>
  </sheetData>
  <autoFilter ref="B35:R35" xr:uid="{51911589-02BC-4B8C-8125-138C8F9F5E6D}">
    <filterColumn colId="1" showButton="0"/>
    <filterColumn colId="2" showButton="0"/>
    <filterColumn colId="3" showButton="0"/>
    <filterColumn colId="4" showButton="0"/>
    <filterColumn colId="5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12">
    <mergeCell ref="C4:E4"/>
    <mergeCell ref="F4:K4"/>
    <mergeCell ref="N4:N5"/>
    <mergeCell ref="O4:O5"/>
    <mergeCell ref="C5:E5"/>
    <mergeCell ref="F5:K5"/>
    <mergeCell ref="C1:D1"/>
    <mergeCell ref="E1:K1"/>
    <mergeCell ref="N1:Q1"/>
    <mergeCell ref="C2:E2"/>
    <mergeCell ref="H2:K2"/>
    <mergeCell ref="C3:E3"/>
    <mergeCell ref="H3:K3"/>
    <mergeCell ref="C6:E6"/>
    <mergeCell ref="F6:K6"/>
    <mergeCell ref="C7:E7"/>
    <mergeCell ref="F7:K7"/>
    <mergeCell ref="N7:R7"/>
    <mergeCell ref="C8:K8"/>
    <mergeCell ref="C9:E9"/>
    <mergeCell ref="G9:K9"/>
    <mergeCell ref="C10:E10"/>
    <mergeCell ref="C25:G25"/>
    <mergeCell ref="G10:K10"/>
    <mergeCell ref="G11:K11"/>
    <mergeCell ref="G13:K13"/>
    <mergeCell ref="G14:K14"/>
    <mergeCell ref="C22:E22"/>
    <mergeCell ref="G22:K22"/>
    <mergeCell ref="C35:H35"/>
    <mergeCell ref="L35:R35"/>
    <mergeCell ref="G17:K17"/>
    <mergeCell ref="N8:R22"/>
    <mergeCell ref="C11:E18"/>
    <mergeCell ref="G15:K15"/>
    <mergeCell ref="G18:K18"/>
    <mergeCell ref="C19:E19"/>
    <mergeCell ref="C20:E20"/>
    <mergeCell ref="C21:E21"/>
    <mergeCell ref="G16:K16"/>
    <mergeCell ref="G21:K21"/>
    <mergeCell ref="G19:K19"/>
    <mergeCell ref="G20:K20"/>
    <mergeCell ref="G12:K12"/>
    <mergeCell ref="C36:H36"/>
    <mergeCell ref="L36:R36"/>
    <mergeCell ref="C37:H37"/>
    <mergeCell ref="L37:R37"/>
    <mergeCell ref="C26:F26"/>
    <mergeCell ref="C27:F27"/>
    <mergeCell ref="C28:F28"/>
    <mergeCell ref="C29:F29"/>
    <mergeCell ref="C30:F30"/>
    <mergeCell ref="C31:F31"/>
    <mergeCell ref="C41:H41"/>
    <mergeCell ref="L41:R41"/>
    <mergeCell ref="C42:H42"/>
    <mergeCell ref="L42:R42"/>
    <mergeCell ref="C43:H43"/>
    <mergeCell ref="L43:R43"/>
    <mergeCell ref="C38:H38"/>
    <mergeCell ref="L38:R38"/>
    <mergeCell ref="C39:H39"/>
    <mergeCell ref="L39:R39"/>
    <mergeCell ref="C40:H40"/>
    <mergeCell ref="L40:R40"/>
    <mergeCell ref="C47:H47"/>
    <mergeCell ref="L47:R47"/>
    <mergeCell ref="C48:H48"/>
    <mergeCell ref="L48:R48"/>
    <mergeCell ref="C49:H49"/>
    <mergeCell ref="L49:R49"/>
    <mergeCell ref="C44:H44"/>
    <mergeCell ref="L44:R44"/>
    <mergeCell ref="C45:H45"/>
    <mergeCell ref="L45:R45"/>
    <mergeCell ref="C46:H46"/>
    <mergeCell ref="L46:R46"/>
    <mergeCell ref="C53:H53"/>
    <mergeCell ref="L53:R53"/>
    <mergeCell ref="C54:H54"/>
    <mergeCell ref="L54:R54"/>
    <mergeCell ref="C55:H55"/>
    <mergeCell ref="L55:R55"/>
    <mergeCell ref="C50:H50"/>
    <mergeCell ref="L50:R50"/>
    <mergeCell ref="C51:H51"/>
    <mergeCell ref="L51:R51"/>
    <mergeCell ref="C52:H52"/>
    <mergeCell ref="L52:R52"/>
    <mergeCell ref="C59:H59"/>
    <mergeCell ref="L59:R59"/>
    <mergeCell ref="C60:H60"/>
    <mergeCell ref="L60:R60"/>
    <mergeCell ref="C61:H61"/>
    <mergeCell ref="L61:R61"/>
    <mergeCell ref="C56:H56"/>
    <mergeCell ref="L56:R56"/>
    <mergeCell ref="C57:H57"/>
    <mergeCell ref="L57:R57"/>
    <mergeCell ref="C58:H58"/>
    <mergeCell ref="L58:R58"/>
    <mergeCell ref="C65:H65"/>
    <mergeCell ref="L65:R65"/>
    <mergeCell ref="C66:H66"/>
    <mergeCell ref="C67:H67"/>
    <mergeCell ref="L67:R67"/>
    <mergeCell ref="C68:H68"/>
    <mergeCell ref="L68:R68"/>
    <mergeCell ref="C62:H62"/>
    <mergeCell ref="L62:R62"/>
    <mergeCell ref="C63:H63"/>
    <mergeCell ref="L63:R63"/>
    <mergeCell ref="C64:H64"/>
    <mergeCell ref="L64:R64"/>
    <mergeCell ref="L66:R66"/>
    <mergeCell ref="C72:H72"/>
    <mergeCell ref="L72:R72"/>
    <mergeCell ref="C73:H73"/>
    <mergeCell ref="L73:R73"/>
    <mergeCell ref="C74:H74"/>
    <mergeCell ref="L74:R74"/>
    <mergeCell ref="C69:H69"/>
    <mergeCell ref="L69:R69"/>
    <mergeCell ref="C70:H70"/>
    <mergeCell ref="L70:R70"/>
    <mergeCell ref="C71:H71"/>
    <mergeCell ref="L71:R71"/>
    <mergeCell ref="C78:H78"/>
    <mergeCell ref="L78:R78"/>
    <mergeCell ref="C79:H79"/>
    <mergeCell ref="L79:R79"/>
    <mergeCell ref="C80:H80"/>
    <mergeCell ref="L80:R80"/>
    <mergeCell ref="C75:H75"/>
    <mergeCell ref="L75:R75"/>
    <mergeCell ref="C76:H76"/>
    <mergeCell ref="L76:R76"/>
    <mergeCell ref="C77:H77"/>
    <mergeCell ref="L77:R77"/>
    <mergeCell ref="C84:H84"/>
    <mergeCell ref="L84:R84"/>
    <mergeCell ref="C85:H85"/>
    <mergeCell ref="L85:R85"/>
    <mergeCell ref="C86:H86"/>
    <mergeCell ref="L86:R86"/>
    <mergeCell ref="C81:H81"/>
    <mergeCell ref="L81:R81"/>
    <mergeCell ref="C82:H82"/>
    <mergeCell ref="L82:R82"/>
    <mergeCell ref="C83:H83"/>
    <mergeCell ref="L83:R83"/>
    <mergeCell ref="C90:H90"/>
    <mergeCell ref="L90:R90"/>
    <mergeCell ref="C91:H91"/>
    <mergeCell ref="L91:R91"/>
    <mergeCell ref="C92:H92"/>
    <mergeCell ref="L92:R92"/>
    <mergeCell ref="C87:H87"/>
    <mergeCell ref="L87:R87"/>
    <mergeCell ref="C88:H88"/>
    <mergeCell ref="L88:R88"/>
    <mergeCell ref="C89:H89"/>
    <mergeCell ref="L89:R89"/>
    <mergeCell ref="C96:H96"/>
    <mergeCell ref="L96:R96"/>
    <mergeCell ref="C97:H97"/>
    <mergeCell ref="L97:R97"/>
    <mergeCell ref="C98:H98"/>
    <mergeCell ref="L98:R98"/>
    <mergeCell ref="C93:H93"/>
    <mergeCell ref="L93:R93"/>
    <mergeCell ref="C94:H94"/>
    <mergeCell ref="L94:R94"/>
    <mergeCell ref="C95:H95"/>
    <mergeCell ref="L95:R95"/>
    <mergeCell ref="C102:H102"/>
    <mergeCell ref="L102:R102"/>
    <mergeCell ref="C103:H103"/>
    <mergeCell ref="L103:R103"/>
    <mergeCell ref="C104:H104"/>
    <mergeCell ref="L104:R104"/>
    <mergeCell ref="C99:H99"/>
    <mergeCell ref="L99:R99"/>
    <mergeCell ref="C100:H100"/>
    <mergeCell ref="L100:R100"/>
    <mergeCell ref="C101:H101"/>
    <mergeCell ref="L101:R101"/>
    <mergeCell ref="C108:H108"/>
    <mergeCell ref="L108:R108"/>
    <mergeCell ref="C109:H109"/>
    <mergeCell ref="L109:R109"/>
    <mergeCell ref="C110:H110"/>
    <mergeCell ref="L110:R110"/>
    <mergeCell ref="C105:H105"/>
    <mergeCell ref="L105:R105"/>
    <mergeCell ref="C106:H106"/>
    <mergeCell ref="L106:R106"/>
    <mergeCell ref="C107:H107"/>
    <mergeCell ref="L107:R107"/>
    <mergeCell ref="C116:H116"/>
    <mergeCell ref="L116:R116"/>
    <mergeCell ref="C114:H114"/>
    <mergeCell ref="L114:R114"/>
    <mergeCell ref="C115:H115"/>
    <mergeCell ref="L115:R115"/>
    <mergeCell ref="C111:H111"/>
    <mergeCell ref="L111:R111"/>
    <mergeCell ref="C112:H112"/>
    <mergeCell ref="L112:R112"/>
    <mergeCell ref="C113:H113"/>
    <mergeCell ref="L113:R113"/>
  </mergeCells>
  <phoneticPr fontId="1" type="noConversion"/>
  <conditionalFormatting sqref="K36:K116">
    <cfRule type="cellIs" dxfId="4" priority="11" operator="equal">
      <formula>"N/A"</formula>
    </cfRule>
    <cfRule type="cellIs" dxfId="3" priority="12" operator="equal">
      <formula>"T.B.D"</formula>
    </cfRule>
    <cfRule type="cellIs" dxfId="2" priority="13" operator="equal">
      <formula>"NG"</formula>
    </cfRule>
    <cfRule type="cellIs" dxfId="1" priority="14" operator="equal">
      <formula>"OK But"</formula>
    </cfRule>
    <cfRule type="cellIs" dxfId="0" priority="15" operator="equal">
      <formula>"OK"</formula>
    </cfRule>
  </conditionalFormatting>
  <dataValidations count="4">
    <dataValidation type="list" allowBlank="1" showInputMessage="1" showErrorMessage="1" sqref="K36:K116" xr:uid="{6397E96C-F3FE-4DB4-BDDE-3F600A7928C0}">
      <formula1>"OK,NG,N/A,OK But"</formula1>
    </dataValidation>
    <dataValidation type="list" allowBlank="1" showInputMessage="1" showErrorMessage="1" sqref="O2" xr:uid="{074481F6-6B67-4E0C-887E-7FC71569AC3D}">
      <formula1>"Walkthrough, Inspection, Informal Group Review, Peer Review"</formula1>
    </dataValidation>
    <dataValidation type="list" allowBlank="1" showInputMessage="1" showErrorMessage="1" sqref="F7:K7" xr:uid="{ACC8E410-3795-4A5B-B6E7-C2E1E2439AA8}">
      <formula1>"A-SPICE,Functional Safety,A-SPICE+Functional Safety"</formula1>
    </dataValidation>
    <dataValidation type="list" allowBlank="1" showInputMessage="1" showErrorMessage="1" sqref="O3" xr:uid="{1E572776-0DE5-4E00-95FD-03EAD140CA6F}">
      <formula1>"QM,A,B,C,D"</formula1>
    </dataValidation>
  </dataValidations>
  <pageMargins left="0.25" right="0.25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AFBF-7F19-42B2-B61D-285FC87C1242}">
  <dimension ref="B6:C8"/>
  <sheetViews>
    <sheetView topLeftCell="A6" zoomScale="85" zoomScaleNormal="85" workbookViewId="0">
      <selection activeCell="F8" sqref="F8"/>
    </sheetView>
  </sheetViews>
  <sheetFormatPr defaultRowHeight="17.399999999999999"/>
  <cols>
    <col min="2" max="2" width="21.3984375" customWidth="1"/>
    <col min="3" max="3" width="50.69921875" customWidth="1"/>
  </cols>
  <sheetData>
    <row r="6" spans="2:3" ht="123" customHeight="1">
      <c r="B6" s="59" t="s">
        <v>232</v>
      </c>
      <c r="C6" s="86"/>
    </row>
    <row r="7" spans="2:3" ht="123" customHeight="1">
      <c r="B7" s="59" t="s">
        <v>234</v>
      </c>
      <c r="C7" s="86"/>
    </row>
    <row r="8" spans="2:3" ht="123" customHeight="1">
      <c r="B8" s="59" t="s">
        <v>233</v>
      </c>
      <c r="C8" s="86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dvAspect="DVASPECT_ICON" shapeId="10245" r:id="rId4">
          <objectPr defaultSize="0" autoPict="0" r:id="rId5">
            <anchor moveWithCells="1">
              <from>
                <xdr:col>2</xdr:col>
                <xdr:colOff>655320</xdr:colOff>
                <xdr:row>6</xdr:row>
                <xdr:rowOff>190500</xdr:rowOff>
              </from>
              <to>
                <xdr:col>2</xdr:col>
                <xdr:colOff>3497580</xdr:colOff>
                <xdr:row>6</xdr:row>
                <xdr:rowOff>1143000</xdr:rowOff>
              </to>
            </anchor>
          </objectPr>
        </oleObject>
      </mc:Choice>
      <mc:Fallback>
        <oleObject progId="포장기 셸 개체" dvAspect="DVASPECT_ICON" shapeId="10245" r:id="rId4"/>
      </mc:Fallback>
    </mc:AlternateContent>
    <mc:AlternateContent xmlns:mc="http://schemas.openxmlformats.org/markup-compatibility/2006">
      <mc:Choice Requires="x14">
        <oleObject progId="포장기 셸 개체" dvAspect="DVASPECT_ICON" shapeId="10249" r:id="rId6">
          <objectPr defaultSize="0" r:id="rId7">
            <anchor moveWithCells="1">
              <from>
                <xdr:col>2</xdr:col>
                <xdr:colOff>640080</xdr:colOff>
                <xdr:row>5</xdr:row>
                <xdr:rowOff>457200</xdr:rowOff>
              </from>
              <to>
                <xdr:col>2</xdr:col>
                <xdr:colOff>3566160</xdr:colOff>
                <xdr:row>5</xdr:row>
                <xdr:rowOff>1104900</xdr:rowOff>
              </to>
            </anchor>
          </objectPr>
        </oleObject>
      </mc:Choice>
      <mc:Fallback>
        <oleObject progId="포장기 셸 개체" dvAspect="DVASPECT_ICON" shapeId="10249" r:id="rId6"/>
      </mc:Fallback>
    </mc:AlternateContent>
    <mc:AlternateContent xmlns:mc="http://schemas.openxmlformats.org/markup-compatibility/2006">
      <mc:Choice Requires="x14">
        <oleObject progId="포장기 셸 개체" dvAspect="DVASPECT_ICON" shapeId="10250" r:id="rId8">
          <objectPr defaultSize="0" r:id="rId9">
            <anchor moveWithCells="1">
              <from>
                <xdr:col>2</xdr:col>
                <xdr:colOff>563880</xdr:colOff>
                <xdr:row>7</xdr:row>
                <xdr:rowOff>388620</xdr:rowOff>
              </from>
              <to>
                <xdr:col>2</xdr:col>
                <xdr:colOff>3489960</xdr:colOff>
                <xdr:row>7</xdr:row>
                <xdr:rowOff>1036320</xdr:rowOff>
              </to>
            </anchor>
          </objectPr>
        </oleObject>
      </mc:Choice>
      <mc:Fallback>
        <oleObject progId="포장기 셸 개체" dvAspect="DVASPECT_ICON" shapeId="10250" r:id="rId8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EF3A-41D4-4678-B6E3-658239B7B9F2}">
  <dimension ref="B3:D191"/>
  <sheetViews>
    <sheetView zoomScale="115" zoomScaleNormal="115" workbookViewId="0">
      <selection activeCell="C14" sqref="C14"/>
    </sheetView>
  </sheetViews>
  <sheetFormatPr defaultRowHeight="17.399999999999999"/>
  <cols>
    <col min="2" max="2" width="21.8984375" style="91" customWidth="1"/>
    <col min="3" max="3" width="44.5" style="2" customWidth="1"/>
    <col min="4" max="4" width="78.8984375" style="2" customWidth="1"/>
  </cols>
  <sheetData>
    <row r="3" spans="2:4">
      <c r="B3" s="89" t="s">
        <v>249</v>
      </c>
      <c r="C3" s="90"/>
      <c r="D3" s="90"/>
    </row>
    <row r="4" spans="2:4">
      <c r="B4" s="89"/>
      <c r="C4" s="90" t="s">
        <v>250</v>
      </c>
      <c r="D4" s="90" t="s">
        <v>251</v>
      </c>
    </row>
    <row r="5" spans="2:4">
      <c r="B5" s="89"/>
      <c r="C5" s="90" t="s">
        <v>252</v>
      </c>
      <c r="D5" s="90" t="s">
        <v>251</v>
      </c>
    </row>
    <row r="6" spans="2:4">
      <c r="B6" s="89"/>
      <c r="C6" s="90" t="s">
        <v>253</v>
      </c>
      <c r="D6" s="90" t="s">
        <v>251</v>
      </c>
    </row>
    <row r="7" spans="2:4">
      <c r="B7" s="89" t="s">
        <v>254</v>
      </c>
      <c r="C7" s="90"/>
      <c r="D7" s="90"/>
    </row>
    <row r="8" spans="2:4">
      <c r="B8" s="89"/>
      <c r="C8" s="90" t="s">
        <v>255</v>
      </c>
      <c r="D8" s="90" t="s">
        <v>251</v>
      </c>
    </row>
    <row r="9" spans="2:4">
      <c r="B9" s="89"/>
      <c r="C9" s="90" t="s">
        <v>256</v>
      </c>
      <c r="D9" s="90" t="s">
        <v>251</v>
      </c>
    </row>
    <row r="10" spans="2:4">
      <c r="B10" s="89"/>
      <c r="C10" s="90" t="s">
        <v>257</v>
      </c>
      <c r="D10" s="90" t="s">
        <v>251</v>
      </c>
    </row>
    <row r="11" spans="2:4">
      <c r="B11" s="89"/>
      <c r="C11" s="90" t="s">
        <v>258</v>
      </c>
      <c r="D11" s="90" t="s">
        <v>251</v>
      </c>
    </row>
    <row r="12" spans="2:4">
      <c r="B12" s="89"/>
      <c r="C12" s="90" t="s">
        <v>259</v>
      </c>
      <c r="D12" s="90" t="s">
        <v>251</v>
      </c>
    </row>
    <row r="13" spans="2:4">
      <c r="B13" s="89"/>
      <c r="C13" s="90" t="s">
        <v>260</v>
      </c>
      <c r="D13" s="90" t="s">
        <v>251</v>
      </c>
    </row>
    <row r="14" spans="2:4">
      <c r="B14" s="89" t="s">
        <v>261</v>
      </c>
      <c r="C14" s="90"/>
      <c r="D14" s="90"/>
    </row>
    <row r="15" spans="2:4">
      <c r="B15" s="89"/>
      <c r="C15" s="90" t="s">
        <v>262</v>
      </c>
      <c r="D15" s="90" t="s">
        <v>251</v>
      </c>
    </row>
    <row r="16" spans="2:4">
      <c r="B16" s="89"/>
      <c r="C16" s="90" t="s">
        <v>263</v>
      </c>
      <c r="D16" s="90" t="s">
        <v>251</v>
      </c>
    </row>
    <row r="17" spans="2:4">
      <c r="B17" s="89"/>
      <c r="C17" s="90" t="s">
        <v>264</v>
      </c>
      <c r="D17" s="90" t="s">
        <v>251</v>
      </c>
    </row>
    <row r="18" spans="2:4">
      <c r="B18" s="89"/>
      <c r="C18" s="90" t="s">
        <v>265</v>
      </c>
      <c r="D18" s="90" t="s">
        <v>251</v>
      </c>
    </row>
    <row r="19" spans="2:4">
      <c r="B19" s="89"/>
      <c r="C19" s="90" t="s">
        <v>266</v>
      </c>
      <c r="D19" s="90" t="s">
        <v>251</v>
      </c>
    </row>
    <row r="20" spans="2:4">
      <c r="B20" s="89"/>
      <c r="C20" s="90" t="s">
        <v>267</v>
      </c>
      <c r="D20" s="90" t="s">
        <v>251</v>
      </c>
    </row>
    <row r="21" spans="2:4">
      <c r="B21" s="89" t="s">
        <v>268</v>
      </c>
      <c r="C21" s="90"/>
      <c r="D21" s="90"/>
    </row>
    <row r="22" spans="2:4">
      <c r="B22" s="89"/>
      <c r="C22" s="90" t="s">
        <v>269</v>
      </c>
      <c r="D22" s="90" t="s">
        <v>251</v>
      </c>
    </row>
    <row r="23" spans="2:4">
      <c r="B23" s="89"/>
      <c r="C23" s="90" t="s">
        <v>270</v>
      </c>
      <c r="D23" s="90" t="s">
        <v>251</v>
      </c>
    </row>
    <row r="24" spans="2:4">
      <c r="B24" s="89"/>
      <c r="C24" s="90" t="s">
        <v>271</v>
      </c>
      <c r="D24" s="90" t="s">
        <v>251</v>
      </c>
    </row>
    <row r="25" spans="2:4">
      <c r="B25" s="89"/>
      <c r="C25" s="90" t="s">
        <v>272</v>
      </c>
      <c r="D25" s="90" t="s">
        <v>251</v>
      </c>
    </row>
    <row r="26" spans="2:4">
      <c r="B26" s="89"/>
      <c r="C26" s="90" t="s">
        <v>273</v>
      </c>
      <c r="D26" s="90" t="s">
        <v>251</v>
      </c>
    </row>
    <row r="27" spans="2:4">
      <c r="B27" s="89"/>
      <c r="C27" s="90" t="s">
        <v>274</v>
      </c>
      <c r="D27" s="90" t="s">
        <v>251</v>
      </c>
    </row>
    <row r="28" spans="2:4">
      <c r="B28" s="89"/>
      <c r="C28" s="90" t="s">
        <v>275</v>
      </c>
      <c r="D28" s="90" t="s">
        <v>251</v>
      </c>
    </row>
    <row r="29" spans="2:4">
      <c r="B29" s="89"/>
      <c r="C29" s="90" t="s">
        <v>276</v>
      </c>
      <c r="D29" s="90" t="s">
        <v>251</v>
      </c>
    </row>
    <row r="30" spans="2:4">
      <c r="B30" s="89"/>
      <c r="C30" s="90" t="s">
        <v>277</v>
      </c>
      <c r="D30" s="90" t="s">
        <v>251</v>
      </c>
    </row>
    <row r="31" spans="2:4">
      <c r="B31" s="89"/>
      <c r="C31" s="90" t="s">
        <v>278</v>
      </c>
      <c r="D31" s="90" t="s">
        <v>251</v>
      </c>
    </row>
    <row r="32" spans="2:4">
      <c r="B32" s="89"/>
      <c r="C32" s="90" t="s">
        <v>279</v>
      </c>
      <c r="D32" s="90" t="s">
        <v>251</v>
      </c>
    </row>
    <row r="33" spans="2:4">
      <c r="B33" s="89"/>
      <c r="C33" s="90" t="s">
        <v>280</v>
      </c>
      <c r="D33" s="90" t="s">
        <v>251</v>
      </c>
    </row>
    <row r="34" spans="2:4">
      <c r="B34" s="89"/>
      <c r="C34" s="90" t="s">
        <v>281</v>
      </c>
      <c r="D34" s="90" t="s">
        <v>251</v>
      </c>
    </row>
    <row r="35" spans="2:4">
      <c r="B35" s="89"/>
      <c r="C35" s="90" t="s">
        <v>282</v>
      </c>
      <c r="D35" s="90" t="s">
        <v>251</v>
      </c>
    </row>
    <row r="36" spans="2:4">
      <c r="B36" s="89"/>
      <c r="C36" s="90" t="s">
        <v>283</v>
      </c>
      <c r="D36" s="90" t="s">
        <v>251</v>
      </c>
    </row>
    <row r="37" spans="2:4">
      <c r="B37" s="89"/>
      <c r="C37" s="90" t="s">
        <v>284</v>
      </c>
      <c r="D37" s="90" t="s">
        <v>251</v>
      </c>
    </row>
    <row r="38" spans="2:4">
      <c r="B38" s="89"/>
      <c r="C38" s="90" t="s">
        <v>285</v>
      </c>
      <c r="D38" s="90" t="s">
        <v>251</v>
      </c>
    </row>
    <row r="39" spans="2:4">
      <c r="B39" s="89"/>
      <c r="C39" s="90" t="s">
        <v>286</v>
      </c>
      <c r="D39" s="90" t="s">
        <v>251</v>
      </c>
    </row>
    <row r="40" spans="2:4">
      <c r="B40" s="89"/>
      <c r="C40" s="90" t="s">
        <v>287</v>
      </c>
      <c r="D40" s="90" t="s">
        <v>251</v>
      </c>
    </row>
    <row r="41" spans="2:4">
      <c r="B41" s="89"/>
      <c r="C41" s="90" t="s">
        <v>288</v>
      </c>
      <c r="D41" s="90" t="s">
        <v>251</v>
      </c>
    </row>
    <row r="42" spans="2:4">
      <c r="B42" s="89"/>
      <c r="C42" s="90" t="s">
        <v>289</v>
      </c>
      <c r="D42" s="90" t="s">
        <v>251</v>
      </c>
    </row>
    <row r="43" spans="2:4">
      <c r="B43" s="89"/>
      <c r="C43" s="90" t="s">
        <v>290</v>
      </c>
      <c r="D43" s="90" t="s">
        <v>251</v>
      </c>
    </row>
    <row r="44" spans="2:4">
      <c r="B44" s="89"/>
      <c r="C44" s="90" t="s">
        <v>291</v>
      </c>
      <c r="D44" s="90" t="s">
        <v>251</v>
      </c>
    </row>
    <row r="45" spans="2:4">
      <c r="B45" s="89"/>
      <c r="C45" s="90" t="s">
        <v>292</v>
      </c>
      <c r="D45" s="90" t="s">
        <v>251</v>
      </c>
    </row>
    <row r="46" spans="2:4">
      <c r="B46" s="89"/>
      <c r="C46" s="90" t="s">
        <v>293</v>
      </c>
      <c r="D46" s="90" t="s">
        <v>251</v>
      </c>
    </row>
    <row r="47" spans="2:4">
      <c r="B47" s="89"/>
      <c r="C47" s="90" t="s">
        <v>294</v>
      </c>
      <c r="D47" s="90" t="s">
        <v>300</v>
      </c>
    </row>
    <row r="48" spans="2:4">
      <c r="B48" s="89"/>
      <c r="C48" s="90" t="s">
        <v>295</v>
      </c>
      <c r="D48" s="90" t="s">
        <v>300</v>
      </c>
    </row>
    <row r="49" spans="2:4">
      <c r="B49" s="89"/>
      <c r="C49" s="90" t="s">
        <v>296</v>
      </c>
      <c r="D49" s="90" t="s">
        <v>300</v>
      </c>
    </row>
    <row r="50" spans="2:4">
      <c r="B50" s="89"/>
      <c r="C50" s="90" t="s">
        <v>297</v>
      </c>
      <c r="D50" s="90" t="s">
        <v>300</v>
      </c>
    </row>
    <row r="51" spans="2:4">
      <c r="B51" s="89"/>
      <c r="C51" s="90" t="s">
        <v>298</v>
      </c>
      <c r="D51" s="90" t="s">
        <v>251</v>
      </c>
    </row>
    <row r="52" spans="2:4">
      <c r="B52" s="89"/>
      <c r="C52" s="90" t="s">
        <v>299</v>
      </c>
      <c r="D52" s="90" t="s">
        <v>300</v>
      </c>
    </row>
    <row r="53" spans="2:4">
      <c r="B53" s="89"/>
      <c r="C53" s="90" t="s">
        <v>301</v>
      </c>
      <c r="D53" s="90" t="s">
        <v>251</v>
      </c>
    </row>
    <row r="54" spans="2:4">
      <c r="B54" s="89"/>
      <c r="C54" s="90" t="s">
        <v>302</v>
      </c>
      <c r="D54" s="90" t="s">
        <v>251</v>
      </c>
    </row>
    <row r="55" spans="2:4">
      <c r="B55" s="89" t="s">
        <v>303</v>
      </c>
      <c r="C55" s="90"/>
      <c r="D55" s="90"/>
    </row>
    <row r="56" spans="2:4">
      <c r="B56" s="89"/>
      <c r="C56" s="90" t="s">
        <v>304</v>
      </c>
      <c r="D56" s="90" t="s">
        <v>307</v>
      </c>
    </row>
    <row r="57" spans="2:4">
      <c r="B57" s="89"/>
      <c r="C57" s="90" t="s">
        <v>306</v>
      </c>
      <c r="D57" s="90" t="s">
        <v>307</v>
      </c>
    </row>
    <row r="58" spans="2:4">
      <c r="B58" s="89"/>
      <c r="C58" s="90" t="s">
        <v>308</v>
      </c>
      <c r="D58" s="90" t="s">
        <v>307</v>
      </c>
    </row>
    <row r="59" spans="2:4">
      <c r="B59" s="89"/>
      <c r="C59" s="90" t="s">
        <v>309</v>
      </c>
      <c r="D59" s="90" t="s">
        <v>307</v>
      </c>
    </row>
    <row r="60" spans="2:4">
      <c r="B60" s="89"/>
      <c r="C60" s="90" t="s">
        <v>310</v>
      </c>
      <c r="D60" s="90" t="s">
        <v>307</v>
      </c>
    </row>
    <row r="61" spans="2:4">
      <c r="B61" s="89"/>
      <c r="C61" s="90" t="s">
        <v>311</v>
      </c>
      <c r="D61" s="90" t="s">
        <v>307</v>
      </c>
    </row>
    <row r="62" spans="2:4">
      <c r="B62" s="89"/>
      <c r="C62" s="90" t="s">
        <v>312</v>
      </c>
      <c r="D62" s="90" t="s">
        <v>307</v>
      </c>
    </row>
    <row r="63" spans="2:4">
      <c r="B63" s="89"/>
      <c r="C63" s="90" t="s">
        <v>313</v>
      </c>
      <c r="D63" s="90" t="s">
        <v>307</v>
      </c>
    </row>
    <row r="64" spans="2:4">
      <c r="B64" s="89"/>
      <c r="C64" s="90" t="s">
        <v>314</v>
      </c>
      <c r="D64" s="90" t="s">
        <v>307</v>
      </c>
    </row>
    <row r="65" spans="2:4">
      <c r="B65" s="89"/>
      <c r="C65" s="90" t="s">
        <v>315</v>
      </c>
      <c r="D65" s="90" t="s">
        <v>307</v>
      </c>
    </row>
    <row r="66" spans="2:4">
      <c r="B66" s="89"/>
      <c r="C66" s="90" t="s">
        <v>316</v>
      </c>
      <c r="D66" s="90" t="s">
        <v>307</v>
      </c>
    </row>
    <row r="67" spans="2:4">
      <c r="B67" s="89"/>
      <c r="C67" s="90" t="s">
        <v>317</v>
      </c>
      <c r="D67" s="90" t="s">
        <v>307</v>
      </c>
    </row>
    <row r="68" spans="2:4">
      <c r="B68" s="89"/>
      <c r="C68" s="90" t="s">
        <v>318</v>
      </c>
      <c r="D68" s="90" t="s">
        <v>307</v>
      </c>
    </row>
    <row r="69" spans="2:4">
      <c r="B69" s="89"/>
      <c r="C69" s="90" t="s">
        <v>319</v>
      </c>
      <c r="D69" s="90" t="s">
        <v>307</v>
      </c>
    </row>
    <row r="70" spans="2:4">
      <c r="B70" s="89"/>
      <c r="C70" s="90" t="s">
        <v>320</v>
      </c>
      <c r="D70" s="90" t="s">
        <v>307</v>
      </c>
    </row>
    <row r="71" spans="2:4">
      <c r="B71" s="89"/>
      <c r="C71" s="90" t="s">
        <v>321</v>
      </c>
      <c r="D71" s="90" t="s">
        <v>307</v>
      </c>
    </row>
    <row r="72" spans="2:4">
      <c r="B72" s="89"/>
      <c r="C72" s="90" t="s">
        <v>322</v>
      </c>
      <c r="D72" s="90" t="s">
        <v>307</v>
      </c>
    </row>
    <row r="73" spans="2:4">
      <c r="B73" s="89"/>
      <c r="C73" s="90" t="s">
        <v>323</v>
      </c>
      <c r="D73" s="90" t="s">
        <v>307</v>
      </c>
    </row>
    <row r="74" spans="2:4">
      <c r="B74" s="89"/>
      <c r="C74" s="90" t="s">
        <v>324</v>
      </c>
      <c r="D74" s="90" t="s">
        <v>307</v>
      </c>
    </row>
    <row r="75" spans="2:4">
      <c r="B75" s="89"/>
      <c r="C75" s="90" t="s">
        <v>325</v>
      </c>
      <c r="D75" s="90" t="s">
        <v>307</v>
      </c>
    </row>
    <row r="76" spans="2:4">
      <c r="B76" s="89"/>
      <c r="C76" s="90" t="s">
        <v>326</v>
      </c>
      <c r="D76" s="90" t="s">
        <v>307</v>
      </c>
    </row>
    <row r="77" spans="2:4">
      <c r="B77" s="89"/>
      <c r="C77" s="90" t="s">
        <v>327</v>
      </c>
      <c r="D77" s="90" t="s">
        <v>307</v>
      </c>
    </row>
    <row r="78" spans="2:4">
      <c r="B78" s="89"/>
      <c r="C78" s="90" t="s">
        <v>328</v>
      </c>
      <c r="D78" s="90" t="s">
        <v>307</v>
      </c>
    </row>
    <row r="79" spans="2:4">
      <c r="B79" s="89"/>
      <c r="C79" s="90" t="s">
        <v>329</v>
      </c>
      <c r="D79" s="90" t="s">
        <v>307</v>
      </c>
    </row>
    <row r="80" spans="2:4">
      <c r="B80" s="89"/>
      <c r="C80" s="90" t="s">
        <v>330</v>
      </c>
      <c r="D80" s="90" t="s">
        <v>307</v>
      </c>
    </row>
    <row r="81" spans="2:4">
      <c r="B81" s="89"/>
      <c r="C81" s="90" t="s">
        <v>331</v>
      </c>
      <c r="D81" s="90" t="s">
        <v>307</v>
      </c>
    </row>
    <row r="82" spans="2:4">
      <c r="B82" s="89"/>
      <c r="C82" s="90" t="s">
        <v>332</v>
      </c>
      <c r="D82" s="90" t="s">
        <v>307</v>
      </c>
    </row>
    <row r="83" spans="2:4">
      <c r="B83" s="89"/>
      <c r="C83" s="90" t="s">
        <v>333</v>
      </c>
      <c r="D83" s="90" t="s">
        <v>307</v>
      </c>
    </row>
    <row r="84" spans="2:4">
      <c r="B84" s="89"/>
      <c r="C84" s="90" t="s">
        <v>334</v>
      </c>
      <c r="D84" s="90" t="s">
        <v>307</v>
      </c>
    </row>
    <row r="85" spans="2:4">
      <c r="B85" s="89"/>
      <c r="C85" s="90" t="s">
        <v>335</v>
      </c>
      <c r="D85" s="90" t="s">
        <v>307</v>
      </c>
    </row>
    <row r="86" spans="2:4">
      <c r="B86" s="89"/>
      <c r="C86" s="90" t="s">
        <v>336</v>
      </c>
      <c r="D86" s="90" t="s">
        <v>307</v>
      </c>
    </row>
    <row r="87" spans="2:4">
      <c r="B87" s="89"/>
      <c r="C87" s="90" t="s">
        <v>337</v>
      </c>
      <c r="D87" s="90" t="s">
        <v>307</v>
      </c>
    </row>
    <row r="88" spans="2:4">
      <c r="B88" s="89"/>
      <c r="C88" s="90" t="s">
        <v>338</v>
      </c>
      <c r="D88" s="90" t="s">
        <v>307</v>
      </c>
    </row>
    <row r="89" spans="2:4">
      <c r="B89" s="89"/>
      <c r="C89" s="90" t="s">
        <v>339</v>
      </c>
      <c r="D89" s="90" t="s">
        <v>307</v>
      </c>
    </row>
    <row r="90" spans="2:4">
      <c r="B90" s="89"/>
      <c r="C90" s="90" t="s">
        <v>340</v>
      </c>
      <c r="D90" s="90" t="s">
        <v>307</v>
      </c>
    </row>
    <row r="91" spans="2:4">
      <c r="B91" s="89"/>
      <c r="C91" s="90" t="s">
        <v>341</v>
      </c>
      <c r="D91" s="90" t="s">
        <v>307</v>
      </c>
    </row>
    <row r="92" spans="2:4">
      <c r="B92" s="89"/>
      <c r="C92" s="90" t="s">
        <v>342</v>
      </c>
      <c r="D92" s="90" t="s">
        <v>307</v>
      </c>
    </row>
    <row r="93" spans="2:4">
      <c r="B93" s="89"/>
      <c r="C93" s="90" t="s">
        <v>343</v>
      </c>
      <c r="D93" s="90" t="s">
        <v>307</v>
      </c>
    </row>
    <row r="94" spans="2:4">
      <c r="B94" s="89"/>
      <c r="C94" s="90" t="s">
        <v>344</v>
      </c>
      <c r="D94" s="90" t="s">
        <v>307</v>
      </c>
    </row>
    <row r="95" spans="2:4">
      <c r="B95" s="89"/>
      <c r="C95" s="90" t="s">
        <v>345</v>
      </c>
      <c r="D95" s="90" t="s">
        <v>307</v>
      </c>
    </row>
    <row r="96" spans="2:4">
      <c r="B96" s="89"/>
      <c r="C96" s="90" t="s">
        <v>346</v>
      </c>
      <c r="D96" s="90" t="s">
        <v>307</v>
      </c>
    </row>
    <row r="97" spans="2:4">
      <c r="B97" s="89"/>
      <c r="C97" s="90" t="s">
        <v>347</v>
      </c>
      <c r="D97" s="90" t="s">
        <v>307</v>
      </c>
    </row>
    <row r="98" spans="2:4">
      <c r="B98" s="89"/>
      <c r="C98" s="90" t="s">
        <v>348</v>
      </c>
      <c r="D98" s="90" t="s">
        <v>307</v>
      </c>
    </row>
    <row r="99" spans="2:4">
      <c r="B99" s="89"/>
      <c r="C99" s="90" t="s">
        <v>349</v>
      </c>
      <c r="D99" s="90" t="s">
        <v>307</v>
      </c>
    </row>
    <row r="100" spans="2:4">
      <c r="B100" s="89"/>
      <c r="C100" s="90" t="s">
        <v>350</v>
      </c>
      <c r="D100" s="90" t="s">
        <v>307</v>
      </c>
    </row>
    <row r="101" spans="2:4">
      <c r="B101" s="89"/>
      <c r="C101" s="90" t="s">
        <v>351</v>
      </c>
      <c r="D101" s="90" t="s">
        <v>307</v>
      </c>
    </row>
    <row r="102" spans="2:4">
      <c r="B102" s="89"/>
      <c r="C102" s="90" t="s">
        <v>352</v>
      </c>
      <c r="D102" s="90" t="s">
        <v>307</v>
      </c>
    </row>
    <row r="103" spans="2:4">
      <c r="B103" s="89"/>
      <c r="C103" s="90" t="s">
        <v>353</v>
      </c>
      <c r="D103" s="90" t="s">
        <v>307</v>
      </c>
    </row>
    <row r="104" spans="2:4">
      <c r="B104" s="89"/>
      <c r="C104" s="90" t="s">
        <v>354</v>
      </c>
      <c r="D104" s="90" t="s">
        <v>307</v>
      </c>
    </row>
    <row r="105" spans="2:4">
      <c r="B105" s="89"/>
      <c r="C105" s="90" t="s">
        <v>355</v>
      </c>
      <c r="D105" s="90" t="s">
        <v>307</v>
      </c>
    </row>
    <row r="106" spans="2:4">
      <c r="B106" s="89"/>
      <c r="C106" s="90" t="s">
        <v>356</v>
      </c>
      <c r="D106" s="90" t="s">
        <v>307</v>
      </c>
    </row>
    <row r="107" spans="2:4">
      <c r="B107" s="89"/>
      <c r="C107" s="90" t="s">
        <v>357</v>
      </c>
      <c r="D107" s="90" t="s">
        <v>307</v>
      </c>
    </row>
    <row r="108" spans="2:4">
      <c r="B108" s="89"/>
      <c r="C108" s="90" t="s">
        <v>358</v>
      </c>
      <c r="D108" s="90" t="s">
        <v>307</v>
      </c>
    </row>
    <row r="109" spans="2:4">
      <c r="B109" s="89"/>
      <c r="C109" s="90" t="s">
        <v>359</v>
      </c>
      <c r="D109" s="90" t="s">
        <v>307</v>
      </c>
    </row>
    <row r="110" spans="2:4">
      <c r="B110" s="89"/>
      <c r="C110" s="90" t="s">
        <v>360</v>
      </c>
      <c r="D110" s="90" t="s">
        <v>307</v>
      </c>
    </row>
    <row r="111" spans="2:4">
      <c r="B111" s="89"/>
      <c r="C111" s="90" t="s">
        <v>361</v>
      </c>
      <c r="D111" s="90" t="s">
        <v>307</v>
      </c>
    </row>
    <row r="112" spans="2:4">
      <c r="B112" s="89"/>
      <c r="C112" s="90" t="s">
        <v>362</v>
      </c>
      <c r="D112" s="90" t="s">
        <v>307</v>
      </c>
    </row>
    <row r="113" spans="2:4">
      <c r="B113" s="89"/>
      <c r="C113" s="90" t="s">
        <v>363</v>
      </c>
      <c r="D113" s="90" t="s">
        <v>307</v>
      </c>
    </row>
    <row r="114" spans="2:4">
      <c r="B114" s="89"/>
      <c r="C114" s="90" t="s">
        <v>364</v>
      </c>
      <c r="D114" s="90" t="s">
        <v>305</v>
      </c>
    </row>
    <row r="115" spans="2:4">
      <c r="B115" s="89"/>
      <c r="C115" s="90" t="s">
        <v>365</v>
      </c>
      <c r="D115" s="90" t="s">
        <v>307</v>
      </c>
    </row>
    <row r="116" spans="2:4">
      <c r="B116" s="89"/>
      <c r="C116" s="90" t="s">
        <v>366</v>
      </c>
      <c r="D116" s="90" t="s">
        <v>307</v>
      </c>
    </row>
    <row r="117" spans="2:4">
      <c r="B117" s="89"/>
      <c r="C117" s="90" t="s">
        <v>367</v>
      </c>
      <c r="D117" s="90" t="s">
        <v>307</v>
      </c>
    </row>
    <row r="118" spans="2:4">
      <c r="B118" s="89"/>
      <c r="C118" s="90" t="s">
        <v>368</v>
      </c>
      <c r="D118" s="90" t="s">
        <v>307</v>
      </c>
    </row>
    <row r="119" spans="2:4">
      <c r="B119" s="89"/>
      <c r="C119" s="90" t="s">
        <v>369</v>
      </c>
      <c r="D119" s="90" t="s">
        <v>307</v>
      </c>
    </row>
    <row r="120" spans="2:4">
      <c r="B120" s="89"/>
      <c r="C120" s="90" t="s">
        <v>370</v>
      </c>
      <c r="D120" s="90" t="s">
        <v>307</v>
      </c>
    </row>
    <row r="121" spans="2:4">
      <c r="B121" s="89"/>
      <c r="C121" s="90" t="s">
        <v>371</v>
      </c>
      <c r="D121" s="90" t="s">
        <v>307</v>
      </c>
    </row>
    <row r="122" spans="2:4">
      <c r="B122" s="89"/>
      <c r="C122" s="90" t="s">
        <v>372</v>
      </c>
      <c r="D122" s="90" t="s">
        <v>307</v>
      </c>
    </row>
    <row r="123" spans="2:4">
      <c r="B123" s="89"/>
      <c r="C123" s="90" t="s">
        <v>373</v>
      </c>
      <c r="D123" s="90" t="s">
        <v>307</v>
      </c>
    </row>
    <row r="124" spans="2:4">
      <c r="B124" s="89"/>
      <c r="C124" s="90" t="s">
        <v>374</v>
      </c>
      <c r="D124" s="90" t="s">
        <v>307</v>
      </c>
    </row>
    <row r="125" spans="2:4">
      <c r="B125" s="89"/>
      <c r="C125" s="90" t="s">
        <v>375</v>
      </c>
      <c r="D125" s="90" t="s">
        <v>307</v>
      </c>
    </row>
    <row r="126" spans="2:4">
      <c r="B126" s="89"/>
      <c r="C126" s="90" t="s">
        <v>376</v>
      </c>
      <c r="D126" s="90" t="s">
        <v>307</v>
      </c>
    </row>
    <row r="127" spans="2:4">
      <c r="B127" s="89"/>
      <c r="C127" s="90" t="s">
        <v>377</v>
      </c>
      <c r="D127" s="90" t="s">
        <v>307</v>
      </c>
    </row>
    <row r="128" spans="2:4">
      <c r="B128" s="89"/>
      <c r="C128" s="90" t="s">
        <v>378</v>
      </c>
      <c r="D128" s="90" t="s">
        <v>307</v>
      </c>
    </row>
    <row r="129" spans="2:4">
      <c r="B129" s="89"/>
      <c r="C129" s="90" t="s">
        <v>379</v>
      </c>
      <c r="D129" s="90" t="s">
        <v>307</v>
      </c>
    </row>
    <row r="130" spans="2:4">
      <c r="B130" s="89"/>
      <c r="C130" s="90" t="s">
        <v>380</v>
      </c>
      <c r="D130" s="90" t="s">
        <v>307</v>
      </c>
    </row>
    <row r="131" spans="2:4">
      <c r="B131" s="89"/>
      <c r="C131" s="90" t="s">
        <v>381</v>
      </c>
      <c r="D131" s="90" t="s">
        <v>307</v>
      </c>
    </row>
    <row r="132" spans="2:4">
      <c r="B132" s="89"/>
      <c r="C132" s="90" t="s">
        <v>382</v>
      </c>
      <c r="D132" s="90" t="s">
        <v>307</v>
      </c>
    </row>
    <row r="133" spans="2:4">
      <c r="B133" s="89"/>
      <c r="C133" s="90" t="s">
        <v>383</v>
      </c>
      <c r="D133" s="90" t="s">
        <v>307</v>
      </c>
    </row>
    <row r="134" spans="2:4">
      <c r="B134" s="89"/>
      <c r="C134" s="90" t="s">
        <v>383</v>
      </c>
      <c r="D134" s="90" t="s">
        <v>307</v>
      </c>
    </row>
    <row r="135" spans="2:4">
      <c r="B135" s="89"/>
      <c r="C135" s="90" t="s">
        <v>384</v>
      </c>
      <c r="D135" s="90" t="s">
        <v>307</v>
      </c>
    </row>
    <row r="136" spans="2:4">
      <c r="B136" s="89"/>
      <c r="C136" s="90" t="s">
        <v>384</v>
      </c>
      <c r="D136" s="90" t="s">
        <v>307</v>
      </c>
    </row>
    <row r="137" spans="2:4">
      <c r="B137" s="89"/>
      <c r="C137" s="90" t="s">
        <v>385</v>
      </c>
      <c r="D137" s="90" t="s">
        <v>307</v>
      </c>
    </row>
    <row r="138" spans="2:4">
      <c r="B138" s="89"/>
      <c r="C138" s="90" t="s">
        <v>386</v>
      </c>
      <c r="D138" s="90" t="s">
        <v>307</v>
      </c>
    </row>
    <row r="139" spans="2:4">
      <c r="B139" s="89"/>
      <c r="C139" s="90" t="s">
        <v>387</v>
      </c>
      <c r="D139" s="90" t="s">
        <v>307</v>
      </c>
    </row>
    <row r="140" spans="2:4">
      <c r="B140" s="89"/>
      <c r="C140" s="90" t="s">
        <v>388</v>
      </c>
      <c r="D140" s="90" t="s">
        <v>307</v>
      </c>
    </row>
    <row r="141" spans="2:4">
      <c r="B141" s="89"/>
      <c r="C141" s="90" t="s">
        <v>389</v>
      </c>
      <c r="D141" s="90" t="s">
        <v>307</v>
      </c>
    </row>
    <row r="142" spans="2:4">
      <c r="B142" s="89"/>
      <c r="C142" s="90" t="s">
        <v>390</v>
      </c>
      <c r="D142" s="90" t="s">
        <v>307</v>
      </c>
    </row>
    <row r="143" spans="2:4">
      <c r="B143" s="89"/>
      <c r="C143" s="90" t="s">
        <v>391</v>
      </c>
      <c r="D143" s="90" t="s">
        <v>307</v>
      </c>
    </row>
    <row r="144" spans="2:4">
      <c r="B144" s="89"/>
      <c r="C144" s="90" t="s">
        <v>392</v>
      </c>
      <c r="D144" s="90" t="s">
        <v>307</v>
      </c>
    </row>
    <row r="145" spans="2:4">
      <c r="B145" s="89"/>
      <c r="C145" s="90" t="s">
        <v>393</v>
      </c>
      <c r="D145" s="90" t="s">
        <v>307</v>
      </c>
    </row>
    <row r="146" spans="2:4">
      <c r="B146" s="89"/>
      <c r="C146" s="90" t="s">
        <v>394</v>
      </c>
      <c r="D146" s="90" t="s">
        <v>307</v>
      </c>
    </row>
    <row r="147" spans="2:4">
      <c r="B147" s="89"/>
      <c r="C147" s="90" t="s">
        <v>395</v>
      </c>
      <c r="D147" s="90" t="s">
        <v>307</v>
      </c>
    </row>
    <row r="148" spans="2:4">
      <c r="B148" s="89"/>
      <c r="C148" s="90" t="s">
        <v>396</v>
      </c>
      <c r="D148" s="90" t="s">
        <v>307</v>
      </c>
    </row>
    <row r="149" spans="2:4">
      <c r="B149" s="89"/>
      <c r="C149" s="90" t="s">
        <v>397</v>
      </c>
      <c r="D149" s="90" t="s">
        <v>307</v>
      </c>
    </row>
    <row r="150" spans="2:4">
      <c r="B150" s="89"/>
      <c r="C150" s="90" t="s">
        <v>398</v>
      </c>
      <c r="D150" s="90" t="s">
        <v>307</v>
      </c>
    </row>
    <row r="151" spans="2:4">
      <c r="B151" s="89"/>
      <c r="C151" s="90" t="s">
        <v>399</v>
      </c>
      <c r="D151" s="90" t="s">
        <v>307</v>
      </c>
    </row>
    <row r="152" spans="2:4">
      <c r="B152" s="89"/>
      <c r="C152" s="90" t="s">
        <v>400</v>
      </c>
      <c r="D152" s="90" t="s">
        <v>307</v>
      </c>
    </row>
    <row r="153" spans="2:4">
      <c r="B153" s="89"/>
      <c r="C153" s="90" t="s">
        <v>401</v>
      </c>
      <c r="D153" s="90" t="s">
        <v>307</v>
      </c>
    </row>
    <row r="154" spans="2:4">
      <c r="B154" s="89"/>
      <c r="C154" s="90" t="s">
        <v>402</v>
      </c>
      <c r="D154" s="90" t="s">
        <v>307</v>
      </c>
    </row>
    <row r="155" spans="2:4">
      <c r="B155" s="89"/>
      <c r="C155" s="90" t="s">
        <v>403</v>
      </c>
      <c r="D155" s="90" t="s">
        <v>307</v>
      </c>
    </row>
    <row r="156" spans="2:4">
      <c r="B156" s="89"/>
      <c r="C156" s="90" t="s">
        <v>404</v>
      </c>
      <c r="D156" s="90" t="s">
        <v>307</v>
      </c>
    </row>
    <row r="157" spans="2:4">
      <c r="B157" s="89"/>
      <c r="C157" s="90" t="s">
        <v>405</v>
      </c>
      <c r="D157" s="90" t="s">
        <v>307</v>
      </c>
    </row>
    <row r="158" spans="2:4">
      <c r="B158" s="89"/>
      <c r="C158" s="90" t="s">
        <v>406</v>
      </c>
      <c r="D158" s="90" t="s">
        <v>307</v>
      </c>
    </row>
    <row r="159" spans="2:4">
      <c r="B159" s="89"/>
      <c r="C159" s="90" t="s">
        <v>407</v>
      </c>
      <c r="D159" s="90" t="s">
        <v>307</v>
      </c>
    </row>
    <row r="160" spans="2:4">
      <c r="B160" s="89" t="s">
        <v>408</v>
      </c>
      <c r="C160" s="90"/>
      <c r="D160" s="90"/>
    </row>
    <row r="161" spans="2:4">
      <c r="B161" s="89"/>
      <c r="C161" s="90" t="s">
        <v>409</v>
      </c>
      <c r="D161" s="90" t="s">
        <v>410</v>
      </c>
    </row>
    <row r="162" spans="2:4">
      <c r="B162" s="89"/>
      <c r="C162" s="90" t="s">
        <v>411</v>
      </c>
      <c r="D162" s="90" t="s">
        <v>410</v>
      </c>
    </row>
    <row r="163" spans="2:4">
      <c r="B163" s="89"/>
      <c r="C163" s="90" t="s">
        <v>412</v>
      </c>
      <c r="D163" s="90" t="s">
        <v>410</v>
      </c>
    </row>
    <row r="164" spans="2:4">
      <c r="B164" s="89"/>
      <c r="C164" s="90" t="s">
        <v>413</v>
      </c>
      <c r="D164" s="90" t="s">
        <v>410</v>
      </c>
    </row>
    <row r="165" spans="2:4">
      <c r="B165" s="89"/>
      <c r="C165" s="90" t="s">
        <v>414</v>
      </c>
      <c r="D165" s="90" t="s">
        <v>410</v>
      </c>
    </row>
    <row r="166" spans="2:4">
      <c r="B166" s="89"/>
      <c r="C166" s="90" t="s">
        <v>415</v>
      </c>
      <c r="D166" s="90" t="s">
        <v>410</v>
      </c>
    </row>
    <row r="167" spans="2:4">
      <c r="B167" s="89"/>
      <c r="C167" s="90" t="s">
        <v>416</v>
      </c>
      <c r="D167" s="90" t="s">
        <v>410</v>
      </c>
    </row>
    <row r="168" spans="2:4">
      <c r="B168" s="89" t="s">
        <v>417</v>
      </c>
      <c r="C168" s="90"/>
      <c r="D168" s="90"/>
    </row>
    <row r="169" spans="2:4">
      <c r="B169" s="89"/>
      <c r="C169" s="90" t="s">
        <v>418</v>
      </c>
      <c r="D169" s="90" t="s">
        <v>419</v>
      </c>
    </row>
    <row r="170" spans="2:4">
      <c r="B170" s="89"/>
      <c r="C170" s="90" t="s">
        <v>420</v>
      </c>
      <c r="D170" s="90" t="s">
        <v>419</v>
      </c>
    </row>
    <row r="171" spans="2:4">
      <c r="B171" s="89"/>
      <c r="C171" s="90" t="s">
        <v>421</v>
      </c>
      <c r="D171" s="90" t="s">
        <v>419</v>
      </c>
    </row>
    <row r="172" spans="2:4">
      <c r="B172" s="89"/>
      <c r="C172" s="90" t="s">
        <v>422</v>
      </c>
      <c r="D172" s="90" t="s">
        <v>419</v>
      </c>
    </row>
    <row r="173" spans="2:4">
      <c r="B173" s="89"/>
      <c r="C173" s="90" t="s">
        <v>423</v>
      </c>
      <c r="D173" s="90" t="s">
        <v>419</v>
      </c>
    </row>
    <row r="174" spans="2:4">
      <c r="B174" s="89"/>
      <c r="C174" s="90" t="s">
        <v>424</v>
      </c>
      <c r="D174" s="90" t="s">
        <v>419</v>
      </c>
    </row>
    <row r="175" spans="2:4">
      <c r="B175" s="89"/>
      <c r="C175" s="90" t="s">
        <v>425</v>
      </c>
      <c r="D175" s="90" t="s">
        <v>419</v>
      </c>
    </row>
    <row r="176" spans="2:4">
      <c r="B176" s="89"/>
      <c r="C176" s="90" t="s">
        <v>426</v>
      </c>
      <c r="D176" s="90" t="s">
        <v>419</v>
      </c>
    </row>
    <row r="177" spans="2:4">
      <c r="B177" s="89"/>
      <c r="C177" s="90" t="s">
        <v>427</v>
      </c>
      <c r="D177" s="90" t="s">
        <v>419</v>
      </c>
    </row>
    <row r="178" spans="2:4">
      <c r="B178" s="89"/>
      <c r="C178" s="90" t="s">
        <v>428</v>
      </c>
      <c r="D178" s="90" t="s">
        <v>419</v>
      </c>
    </row>
    <row r="179" spans="2:4">
      <c r="B179" s="89"/>
      <c r="C179" s="90" t="s">
        <v>429</v>
      </c>
      <c r="D179" s="90" t="s">
        <v>419</v>
      </c>
    </row>
    <row r="180" spans="2:4">
      <c r="B180" s="89"/>
      <c r="C180" s="90" t="s">
        <v>430</v>
      </c>
      <c r="D180" s="90" t="s">
        <v>419</v>
      </c>
    </row>
    <row r="181" spans="2:4">
      <c r="B181" s="89"/>
      <c r="C181" s="90" t="s">
        <v>431</v>
      </c>
      <c r="D181" s="90" t="s">
        <v>419</v>
      </c>
    </row>
    <row r="182" spans="2:4">
      <c r="B182" s="89"/>
      <c r="C182" s="90" t="s">
        <v>432</v>
      </c>
      <c r="D182" s="90" t="s">
        <v>419</v>
      </c>
    </row>
    <row r="183" spans="2:4">
      <c r="B183" s="89"/>
      <c r="C183" s="90" t="s">
        <v>433</v>
      </c>
      <c r="D183" s="90" t="s">
        <v>419</v>
      </c>
    </row>
    <row r="184" spans="2:4">
      <c r="B184" s="89"/>
      <c r="C184" s="90" t="s">
        <v>434</v>
      </c>
      <c r="D184" s="90" t="s">
        <v>419</v>
      </c>
    </row>
    <row r="185" spans="2:4">
      <c r="B185" s="89"/>
      <c r="C185" s="90" t="s">
        <v>435</v>
      </c>
      <c r="D185" s="90" t="s">
        <v>419</v>
      </c>
    </row>
    <row r="186" spans="2:4">
      <c r="B186" s="89"/>
      <c r="C186" s="90" t="s">
        <v>436</v>
      </c>
      <c r="D186" s="90" t="s">
        <v>419</v>
      </c>
    </row>
    <row r="187" spans="2:4">
      <c r="B187" s="89"/>
      <c r="C187" s="90" t="s">
        <v>435</v>
      </c>
      <c r="D187" s="90" t="s">
        <v>419</v>
      </c>
    </row>
    <row r="188" spans="2:4">
      <c r="B188" s="89"/>
      <c r="C188" s="90" t="s">
        <v>384</v>
      </c>
      <c r="D188" s="90" t="s">
        <v>419</v>
      </c>
    </row>
    <row r="189" spans="2:4">
      <c r="B189" s="89"/>
      <c r="C189" s="90" t="s">
        <v>437</v>
      </c>
      <c r="D189" s="90" t="s">
        <v>305</v>
      </c>
    </row>
    <row r="190" spans="2:4">
      <c r="B190" s="89"/>
      <c r="C190" s="90" t="s">
        <v>438</v>
      </c>
      <c r="D190" s="90" t="s">
        <v>305</v>
      </c>
    </row>
    <row r="191" spans="2:4">
      <c r="B191" s="89" t="s">
        <v>439</v>
      </c>
      <c r="C191" s="90"/>
      <c r="D191" s="90" t="s">
        <v>441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54E366D71E8784B8283C5D97D523A06" ma:contentTypeVersion="8" ma:contentTypeDescription="새 문서를 만듭니다." ma:contentTypeScope="" ma:versionID="64c2f3fc8d4bb43dd947c59d69b64a1b">
  <xsd:schema xmlns:xsd="http://www.w3.org/2001/XMLSchema" xmlns:xs="http://www.w3.org/2001/XMLSchema" xmlns:p="http://schemas.microsoft.com/office/2006/metadata/properties" xmlns:ns2="9859b8a9-7f3a-4873-ad50-d1d9d02f9359" targetNamespace="http://schemas.microsoft.com/office/2006/metadata/properties" ma:root="true" ma:fieldsID="f2fc01cebeb9187d236c4d3c993785f1" ns2:_="">
    <xsd:import namespace="9859b8a9-7f3a-4873-ad50-d1d9d02f93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9b8a9-7f3a-4873-ad50-d1d9d02f9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62660-FB1E-4682-9FBA-8DD755165C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9b8a9-7f3a-4873-ad50-d1d9d02f93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7AAA55-88A9-4E08-831E-6BAA2B6A85AC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9859b8a9-7f3a-4873-ad50-d1d9d02f9359"/>
  </ds:schemaRefs>
</ds:datastoreItem>
</file>

<file path=customXml/itemProps3.xml><?xml version="1.0" encoding="utf-8"?>
<ds:datastoreItem xmlns:ds="http://schemas.openxmlformats.org/officeDocument/2006/customXml" ds:itemID="{8F15685C-2775-4F6C-8F0E-9F2C08DACD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c3e313d-adbc-460d-92e1-b20580541235}" enabled="1" method="Privileged" siteId="{f8cedb79-e3e0-481e-be04-2a5cc79f6b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Cover</vt:lpstr>
      <vt:lpstr>Verification Review Strategy</vt:lpstr>
      <vt:lpstr>Verification Review Summary</vt:lpstr>
      <vt:lpstr>Verification Review Report </vt:lpstr>
      <vt:lpstr>Traceability Report</vt:lpstr>
      <vt:lpstr>Technical Feasibility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</dc:creator>
  <cp:lastModifiedBy>Junyeok Bae(배준역)[Electrification SW Engineering Team 1</cp:lastModifiedBy>
  <cp:lastPrinted>2019-03-21T06:43:33Z</cp:lastPrinted>
  <dcterms:created xsi:type="dcterms:W3CDTF">2019-03-20T04:20:10Z</dcterms:created>
  <dcterms:modified xsi:type="dcterms:W3CDTF">2026-05-20T00:02:46Z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0x010100454E366D71E8784B8283C5D97D523A06</vt:lpwstr>
  </property>
</Properties>
</file>